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gapparel-my.sharepoint.com/personal/hamza_zahid_mgapparel_com/Documents/Desktop/Budget Mails/MKT/"/>
    </mc:Choice>
  </mc:AlternateContent>
  <xr:revisionPtr revIDLastSave="12" documentId="8_{7904BF2C-7458-4351-9556-72073D47B936}" xr6:coauthVersionLast="47" xr6:coauthVersionMax="47" xr10:uidLastSave="{248AECB9-98B1-4C73-9EE2-C11C62301C58}"/>
  <bookViews>
    <workbookView xWindow="-108" yWindow="-108" windowWidth="23256" windowHeight="12576" activeTab="1" xr2:uid="{7DA36835-1E7B-4391-A5CF-5E928904B11F}"/>
  </bookViews>
  <sheets>
    <sheet name="Month Wise Sales Qty" sheetId="2" r:id="rId1"/>
    <sheet name="Costing Grid" sheetId="1" r:id="rId2"/>
  </sheets>
  <externalReferences>
    <externalReference r:id="rId3"/>
  </externalReferences>
  <definedNames>
    <definedName name="BuyerCode">[1]!Buyer1[Code]</definedName>
    <definedName name="CompanyCode">[1]!Company1[Company]</definedName>
    <definedName name="CompanyName">'[1]003-Info'!$S$1:$S$10</definedName>
    <definedName name="DeptCode">[1]!Dept1[Code]</definedName>
    <definedName name="DivisionCode">[1]!Company1[Division]</definedName>
    <definedName name="FacilityCode">[1]!Facility1[Code]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BB9" i="1" s="1"/>
  <c r="E10" i="1"/>
  <c r="BB10" i="1" s="1"/>
  <c r="E11" i="1"/>
  <c r="AU11" i="1" s="1"/>
  <c r="E12" i="1"/>
  <c r="AT12" i="1" s="1"/>
  <c r="E13" i="1"/>
  <c r="AX13" i="1" s="1"/>
  <c r="E14" i="1"/>
  <c r="E15" i="1"/>
  <c r="E16" i="1"/>
  <c r="E17" i="1"/>
  <c r="E18" i="1"/>
  <c r="E19" i="1"/>
  <c r="E20" i="1"/>
  <c r="E21" i="1"/>
  <c r="AV21" i="1" s="1"/>
  <c r="E22" i="1"/>
  <c r="Q22" i="1" s="1"/>
  <c r="E23" i="1"/>
  <c r="AW23" i="1" s="1"/>
  <c r="E24" i="1"/>
  <c r="AY24" i="1" s="1"/>
  <c r="E25" i="1"/>
  <c r="AT25" i="1" s="1"/>
  <c r="E26" i="1"/>
  <c r="E27" i="1"/>
  <c r="E28" i="1"/>
  <c r="E29" i="1"/>
  <c r="AY29" i="1" s="1"/>
  <c r="E30" i="1"/>
  <c r="E31" i="1"/>
  <c r="E32" i="1"/>
  <c r="E33" i="1"/>
  <c r="AY33" i="1" s="1"/>
  <c r="E34" i="1"/>
  <c r="AT34" i="1" s="1"/>
  <c r="D2" i="1"/>
  <c r="D3" i="1"/>
  <c r="BD3" i="1" s="1"/>
  <c r="D4" i="1"/>
  <c r="D5" i="1"/>
  <c r="D6" i="1"/>
  <c r="BD6" i="1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BD23" i="1" s="1"/>
  <c r="D24" i="1"/>
  <c r="D25" i="1"/>
  <c r="D26" i="1"/>
  <c r="BD26" i="1" s="1"/>
  <c r="D27" i="1"/>
  <c r="BD27" i="1" s="1"/>
  <c r="D28" i="1"/>
  <c r="D29" i="1"/>
  <c r="D30" i="1"/>
  <c r="D31" i="1"/>
  <c r="D32" i="1"/>
  <c r="D33" i="1"/>
  <c r="D34" i="1"/>
  <c r="BD34" i="1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D21" i="1" s="1"/>
  <c r="B22" i="1"/>
  <c r="B23" i="1"/>
  <c r="B24" i="1"/>
  <c r="B25" i="1"/>
  <c r="B26" i="1"/>
  <c r="B27" i="1"/>
  <c r="B28" i="1"/>
  <c r="B29" i="1"/>
  <c r="B30" i="1"/>
  <c r="B31" i="1"/>
  <c r="BD31" i="1" s="1"/>
  <c r="B32" i="1"/>
  <c r="B33" i="1"/>
  <c r="B34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K35" i="2"/>
  <c r="J35" i="2"/>
  <c r="D35" i="2"/>
  <c r="P34" i="2"/>
  <c r="P33" i="2"/>
  <c r="P32" i="2"/>
  <c r="M31" i="2"/>
  <c r="M35" i="2" s="1"/>
  <c r="L31" i="2"/>
  <c r="M30" i="2"/>
  <c r="L30" i="2"/>
  <c r="I30" i="2"/>
  <c r="G30" i="2"/>
  <c r="G35" i="2" s="1"/>
  <c r="F30" i="2"/>
  <c r="F35" i="2" s="1"/>
  <c r="E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O2" i="2"/>
  <c r="O35" i="2" s="1"/>
  <c r="N2" i="2"/>
  <c r="N35" i="2" s="1"/>
  <c r="I2" i="2"/>
  <c r="H2" i="2"/>
  <c r="BB31" i="1"/>
  <c r="AF2" i="1"/>
  <c r="AF3" i="1"/>
  <c r="AF4" i="1"/>
  <c r="AF5" i="1"/>
  <c r="AF6" i="1"/>
  <c r="AF7" i="1"/>
  <c r="AM7" i="1" s="1"/>
  <c r="AF8" i="1"/>
  <c r="AF9" i="1"/>
  <c r="AF10" i="1"/>
  <c r="AF11" i="1"/>
  <c r="AF12" i="1"/>
  <c r="AF13" i="1"/>
  <c r="AF14" i="1"/>
  <c r="AM14" i="1" s="1"/>
  <c r="AF15" i="1"/>
  <c r="AF16" i="1"/>
  <c r="AF17" i="1"/>
  <c r="AF18" i="1"/>
  <c r="AF19" i="1"/>
  <c r="AF20" i="1"/>
  <c r="AM20" i="1" s="1"/>
  <c r="AF21" i="1"/>
  <c r="AF22" i="1"/>
  <c r="AF23" i="1"/>
  <c r="AF24" i="1"/>
  <c r="AF25" i="1"/>
  <c r="AF26" i="1"/>
  <c r="AM26" i="1" s="1"/>
  <c r="AF27" i="1"/>
  <c r="AM27" i="1" s="1"/>
  <c r="AF28" i="1"/>
  <c r="AF29" i="1"/>
  <c r="AF30" i="1"/>
  <c r="AF31" i="1"/>
  <c r="AF32" i="1"/>
  <c r="AF33" i="1"/>
  <c r="AF34" i="1"/>
  <c r="AS28" i="1"/>
  <c r="AY16" i="1"/>
  <c r="AN36" i="1"/>
  <c r="K34" i="1"/>
  <c r="H34" i="1"/>
  <c r="BD33" i="1"/>
  <c r="AW33" i="1"/>
  <c r="AT33" i="1"/>
  <c r="AS33" i="1"/>
  <c r="AR33" i="1"/>
  <c r="K33" i="1"/>
  <c r="H33" i="1"/>
  <c r="BD32" i="1"/>
  <c r="AS32" i="1"/>
  <c r="AR32" i="1"/>
  <c r="K32" i="1"/>
  <c r="H32" i="1"/>
  <c r="K31" i="1"/>
  <c r="H31" i="1"/>
  <c r="BD30" i="1"/>
  <c r="K30" i="1"/>
  <c r="H30" i="1"/>
  <c r="BD29" i="1"/>
  <c r="AT29" i="1"/>
  <c r="K29" i="1"/>
  <c r="AQ29" i="1" s="1"/>
  <c r="H29" i="1"/>
  <c r="BD28" i="1"/>
  <c r="AW28" i="1"/>
  <c r="AT28" i="1"/>
  <c r="Q28" i="1"/>
  <c r="K28" i="1"/>
  <c r="H28" i="1"/>
  <c r="AY27" i="1"/>
  <c r="AX27" i="1"/>
  <c r="AW27" i="1"/>
  <c r="AT27" i="1"/>
  <c r="AS27" i="1"/>
  <c r="AR27" i="1"/>
  <c r="Q27" i="1"/>
  <c r="K27" i="1"/>
  <c r="H27" i="1"/>
  <c r="AY26" i="1"/>
  <c r="AX26" i="1"/>
  <c r="AW26" i="1"/>
  <c r="AT26" i="1"/>
  <c r="AS26" i="1"/>
  <c r="AR26" i="1"/>
  <c r="Q26" i="1"/>
  <c r="K26" i="1"/>
  <c r="AQ26" i="1" s="1"/>
  <c r="H26" i="1"/>
  <c r="K25" i="1"/>
  <c r="H25" i="1"/>
  <c r="K24" i="1"/>
  <c r="H24" i="1"/>
  <c r="AY23" i="1"/>
  <c r="AX23" i="1"/>
  <c r="K23" i="1"/>
  <c r="H23" i="1"/>
  <c r="AT22" i="1"/>
  <c r="AS22" i="1"/>
  <c r="AR22" i="1"/>
  <c r="K22" i="1"/>
  <c r="H22" i="1"/>
  <c r="AT21" i="1"/>
  <c r="AS21" i="1"/>
  <c r="AR21" i="1"/>
  <c r="Q21" i="1"/>
  <c r="K21" i="1"/>
  <c r="H21" i="1"/>
  <c r="BD20" i="1"/>
  <c r="BB20" i="1"/>
  <c r="AY20" i="1"/>
  <c r="AX20" i="1"/>
  <c r="AW20" i="1"/>
  <c r="AV20" i="1"/>
  <c r="AT20" i="1"/>
  <c r="AS20" i="1"/>
  <c r="AR20" i="1"/>
  <c r="Q20" i="1"/>
  <c r="K20" i="1"/>
  <c r="AQ20" i="1" s="1"/>
  <c r="H20" i="1"/>
  <c r="V20" i="1" s="1"/>
  <c r="AB20" i="1" s="1"/>
  <c r="Y20" i="1" s="1"/>
  <c r="AU20" i="1"/>
  <c r="BD19" i="1"/>
  <c r="BB19" i="1"/>
  <c r="AT19" i="1"/>
  <c r="AS19" i="1"/>
  <c r="AR19" i="1"/>
  <c r="AM19" i="1"/>
  <c r="Q19" i="1"/>
  <c r="K19" i="1"/>
  <c r="AQ19" i="1" s="1"/>
  <c r="H19" i="1"/>
  <c r="V19" i="1" s="1"/>
  <c r="AB19" i="1" s="1"/>
  <c r="Y19" i="1" s="1"/>
  <c r="BD18" i="1"/>
  <c r="BB18" i="1"/>
  <c r="AY18" i="1"/>
  <c r="AX18" i="1"/>
  <c r="AW18" i="1"/>
  <c r="AV18" i="1"/>
  <c r="AT18" i="1"/>
  <c r="AS18" i="1"/>
  <c r="AR18" i="1"/>
  <c r="Q18" i="1"/>
  <c r="K18" i="1"/>
  <c r="AQ18" i="1" s="1"/>
  <c r="H18" i="1"/>
  <c r="V18" i="1" s="1"/>
  <c r="AB18" i="1" s="1"/>
  <c r="Y18" i="1" s="1"/>
  <c r="AU18" i="1"/>
  <c r="BD17" i="1"/>
  <c r="BB17" i="1"/>
  <c r="AY17" i="1"/>
  <c r="AX17" i="1"/>
  <c r="AW17" i="1"/>
  <c r="AV17" i="1"/>
  <c r="AT17" i="1"/>
  <c r="AS17" i="1"/>
  <c r="AR17" i="1"/>
  <c r="Q17" i="1"/>
  <c r="K17" i="1"/>
  <c r="AQ17" i="1" s="1"/>
  <c r="H17" i="1"/>
  <c r="AP17" i="1" s="1"/>
  <c r="AU17" i="1"/>
  <c r="BD16" i="1"/>
  <c r="AW16" i="1"/>
  <c r="AT16" i="1"/>
  <c r="AS16" i="1"/>
  <c r="K16" i="1"/>
  <c r="H16" i="1"/>
  <c r="BB15" i="1"/>
  <c r="AY15" i="1"/>
  <c r="AX15" i="1"/>
  <c r="AW15" i="1"/>
  <c r="AV15" i="1"/>
  <c r="AT15" i="1"/>
  <c r="AS15" i="1"/>
  <c r="AR15" i="1"/>
  <c r="AM15" i="1"/>
  <c r="Q15" i="1"/>
  <c r="K15" i="1"/>
  <c r="AQ15" i="1" s="1"/>
  <c r="H15" i="1"/>
  <c r="V15" i="1" s="1"/>
  <c r="AB15" i="1" s="1"/>
  <c r="Z15" i="1" s="1"/>
  <c r="AU15" i="1"/>
  <c r="BB14" i="1"/>
  <c r="AY14" i="1"/>
  <c r="AX14" i="1"/>
  <c r="AW14" i="1"/>
  <c r="AV14" i="1"/>
  <c r="AT14" i="1"/>
  <c r="AS14" i="1"/>
  <c r="AR14" i="1"/>
  <c r="Q14" i="1"/>
  <c r="K14" i="1"/>
  <c r="H14" i="1"/>
  <c r="AP14" i="1" s="1"/>
  <c r="AU14" i="1"/>
  <c r="K13" i="1"/>
  <c r="H13" i="1"/>
  <c r="AV12" i="1"/>
  <c r="K12" i="1"/>
  <c r="H12" i="1"/>
  <c r="AW11" i="1"/>
  <c r="AV11" i="1"/>
  <c r="K11" i="1"/>
  <c r="H11" i="1"/>
  <c r="V11" i="1" s="1"/>
  <c r="AB11" i="1" s="1"/>
  <c r="Y11" i="1" s="1"/>
  <c r="AT10" i="1"/>
  <c r="AS10" i="1"/>
  <c r="AR10" i="1"/>
  <c r="K10" i="1"/>
  <c r="H10" i="1"/>
  <c r="BD9" i="1"/>
  <c r="AR9" i="1"/>
  <c r="K9" i="1"/>
  <c r="AQ9" i="1" s="1"/>
  <c r="H9" i="1"/>
  <c r="V9" i="1" s="1"/>
  <c r="AB9" i="1" s="1"/>
  <c r="Y9" i="1" s="1"/>
  <c r="BD8" i="1"/>
  <c r="K8" i="1"/>
  <c r="H8" i="1"/>
  <c r="BB8" i="1"/>
  <c r="BD7" i="1"/>
  <c r="AY7" i="1"/>
  <c r="AU7" i="1"/>
  <c r="AT7" i="1"/>
  <c r="AS7" i="1"/>
  <c r="AR7" i="1"/>
  <c r="K7" i="1"/>
  <c r="AQ7" i="1" s="1"/>
  <c r="H7" i="1"/>
  <c r="AP7" i="1" s="1"/>
  <c r="AU6" i="1"/>
  <c r="K6" i="1"/>
  <c r="H6" i="1"/>
  <c r="V6" i="1" s="1"/>
  <c r="AB6" i="1" s="1"/>
  <c r="Y6" i="1" s="1"/>
  <c r="BB6" i="1"/>
  <c r="BD5" i="1"/>
  <c r="BB5" i="1"/>
  <c r="AY5" i="1"/>
  <c r="AU5" i="1"/>
  <c r="AT5" i="1"/>
  <c r="AS5" i="1"/>
  <c r="AR5" i="1"/>
  <c r="K5" i="1"/>
  <c r="AQ5" i="1" s="1"/>
  <c r="H5" i="1"/>
  <c r="AP5" i="1" s="1"/>
  <c r="BD4" i="1"/>
  <c r="K4" i="1"/>
  <c r="H4" i="1"/>
  <c r="V4" i="1" s="1"/>
  <c r="AB4" i="1" s="1"/>
  <c r="Y4" i="1" s="1"/>
  <c r="K3" i="1"/>
  <c r="AQ3" i="1" s="1"/>
  <c r="H3" i="1"/>
  <c r="BB3" i="1"/>
  <c r="K2" i="1"/>
  <c r="H2" i="1"/>
  <c r="V2" i="1" s="1"/>
  <c r="AB2" i="1" s="1"/>
  <c r="Y2" i="1" s="1"/>
  <c r="BB13" i="1" l="1"/>
  <c r="AV10" i="1"/>
  <c r="AX22" i="1"/>
  <c r="AM24" i="1"/>
  <c r="AT9" i="1"/>
  <c r="AX10" i="1"/>
  <c r="AU12" i="1"/>
  <c r="AP13" i="1"/>
  <c r="AW21" i="1"/>
  <c r="AR24" i="1"/>
  <c r="AM29" i="1"/>
  <c r="AM34" i="1"/>
  <c r="AM22" i="1"/>
  <c r="AW25" i="1"/>
  <c r="AU13" i="1"/>
  <c r="AX25" i="1"/>
  <c r="AM25" i="1"/>
  <c r="AM13" i="1"/>
  <c r="AY11" i="1"/>
  <c r="AU9" i="1"/>
  <c r="AQ13" i="1"/>
  <c r="AX21" i="1"/>
  <c r="AQ23" i="1"/>
  <c r="AS24" i="1"/>
  <c r="AR29" i="1"/>
  <c r="AW12" i="1"/>
  <c r="AY12" i="1"/>
  <c r="AY9" i="1"/>
  <c r="AQ12" i="1"/>
  <c r="Q13" i="1"/>
  <c r="AY21" i="1"/>
  <c r="AR23" i="1"/>
  <c r="AX24" i="1"/>
  <c r="AS29" i="1"/>
  <c r="AQ34" i="1"/>
  <c r="AY13" i="1"/>
  <c r="AX12" i="1"/>
  <c r="AS9" i="1"/>
  <c r="Q24" i="1"/>
  <c r="AM23" i="1"/>
  <c r="AR13" i="1"/>
  <c r="AS23" i="1"/>
  <c r="AW34" i="1"/>
  <c r="AX11" i="1"/>
  <c r="AW10" i="1"/>
  <c r="AY22" i="1"/>
  <c r="BB21" i="1"/>
  <c r="AR11" i="1"/>
  <c r="AR12" i="1"/>
  <c r="AS13" i="1"/>
  <c r="AU21" i="1"/>
  <c r="AT23" i="1"/>
  <c r="AW29" i="1"/>
  <c r="AM18" i="1"/>
  <c r="AY25" i="1"/>
  <c r="Q23" i="1"/>
  <c r="AQ24" i="1"/>
  <c r="AM12" i="1"/>
  <c r="BB12" i="1"/>
  <c r="Q12" i="1"/>
  <c r="AS11" i="1"/>
  <c r="AS12" i="1"/>
  <c r="AT13" i="1"/>
  <c r="AQ22" i="1"/>
  <c r="AV23" i="1"/>
  <c r="AM17" i="1"/>
  <c r="BB11" i="1"/>
  <c r="Q11" i="1"/>
  <c r="AQ10" i="1"/>
  <c r="AT11" i="1"/>
  <c r="AQ21" i="1"/>
  <c r="AQ33" i="1"/>
  <c r="BD15" i="1"/>
  <c r="BD14" i="1"/>
  <c r="BD2" i="1"/>
  <c r="BD25" i="1"/>
  <c r="BD13" i="1"/>
  <c r="BD24" i="1"/>
  <c r="BD12" i="1"/>
  <c r="BD11" i="1"/>
  <c r="BD22" i="1"/>
  <c r="BD10" i="1"/>
  <c r="P30" i="2"/>
  <c r="L35" i="2"/>
  <c r="E35" i="2"/>
  <c r="P2" i="2"/>
  <c r="I35" i="2"/>
  <c r="V10" i="1"/>
  <c r="AB10" i="1" s="1"/>
  <c r="Y10" i="1" s="1"/>
  <c r="V16" i="1"/>
  <c r="AB16" i="1" s="1"/>
  <c r="Y16" i="1" s="1"/>
  <c r="V23" i="1"/>
  <c r="AB23" i="1" s="1"/>
  <c r="Y23" i="1" s="1"/>
  <c r="V27" i="1"/>
  <c r="AB27" i="1" s="1"/>
  <c r="Y27" i="1" s="1"/>
  <c r="V26" i="1"/>
  <c r="AB26" i="1" s="1"/>
  <c r="Y26" i="1" s="1"/>
  <c r="V22" i="1"/>
  <c r="AB22" i="1" s="1"/>
  <c r="AC22" i="1" s="1"/>
  <c r="V14" i="1"/>
  <c r="AB14" i="1" s="1"/>
  <c r="Y14" i="1" s="1"/>
  <c r="AP10" i="1"/>
  <c r="V7" i="1"/>
  <c r="AB7" i="1" s="1"/>
  <c r="Y7" i="1" s="1"/>
  <c r="AP18" i="1"/>
  <c r="AZ18" i="1" s="1"/>
  <c r="BA18" i="1" s="1"/>
  <c r="BC18" i="1" s="1"/>
  <c r="AP9" i="1"/>
  <c r="AQ14" i="1"/>
  <c r="AZ14" i="1" s="1"/>
  <c r="BA14" i="1" s="1"/>
  <c r="BC14" i="1" s="1"/>
  <c r="V30" i="1"/>
  <c r="AB30" i="1" s="1"/>
  <c r="Y30" i="1" s="1"/>
  <c r="Y15" i="1"/>
  <c r="AP15" i="1"/>
  <c r="V32" i="1"/>
  <c r="AB32" i="1" s="1"/>
  <c r="Y32" i="1" s="1"/>
  <c r="Y22" i="1"/>
  <c r="H35" i="2"/>
  <c r="P31" i="2"/>
  <c r="P35" i="2" s="1"/>
  <c r="Z10" i="1"/>
  <c r="AG10" i="1" s="1"/>
  <c r="AJ10" i="1" s="1"/>
  <c r="AZ17" i="1"/>
  <c r="BA17" i="1" s="1"/>
  <c r="BC17" i="1" s="1"/>
  <c r="V13" i="1"/>
  <c r="AB13" i="1" s="1"/>
  <c r="V3" i="1"/>
  <c r="AB3" i="1" s="1"/>
  <c r="V5" i="1"/>
  <c r="AB5" i="1" s="1"/>
  <c r="Y5" i="1" s="1"/>
  <c r="V17" i="1"/>
  <c r="AB17" i="1" s="1"/>
  <c r="Y17" i="1" s="1"/>
  <c r="V29" i="1"/>
  <c r="AB29" i="1" s="1"/>
  <c r="AQ32" i="1"/>
  <c r="V12" i="1"/>
  <c r="AB12" i="1" s="1"/>
  <c r="Y12" i="1" s="1"/>
  <c r="V24" i="1"/>
  <c r="AB24" i="1" s="1"/>
  <c r="V25" i="1"/>
  <c r="AB25" i="1" s="1"/>
  <c r="Y25" i="1" s="1"/>
  <c r="V8" i="1"/>
  <c r="AB8" i="1" s="1"/>
  <c r="Y8" i="1" s="1"/>
  <c r="AC19" i="1"/>
  <c r="Z19" i="1"/>
  <c r="AP19" i="1"/>
  <c r="V31" i="1"/>
  <c r="AB31" i="1" s="1"/>
  <c r="Y31" i="1" s="1"/>
  <c r="V34" i="1"/>
  <c r="AB34" i="1" s="1"/>
  <c r="Y34" i="1" s="1"/>
  <c r="AC4" i="1"/>
  <c r="V33" i="1"/>
  <c r="AB33" i="1" s="1"/>
  <c r="Y33" i="1" s="1"/>
  <c r="AC9" i="1"/>
  <c r="AC15" i="1"/>
  <c r="Z30" i="1"/>
  <c r="AG30" i="1" s="1"/>
  <c r="V28" i="1"/>
  <c r="AB28" i="1" s="1"/>
  <c r="Y28" i="1" s="1"/>
  <c r="AX4" i="1"/>
  <c r="Q4" i="1"/>
  <c r="AW4" i="1"/>
  <c r="AV4" i="1"/>
  <c r="AP4" i="1"/>
  <c r="BB4" i="1"/>
  <c r="AY4" i="1"/>
  <c r="AU4" i="1"/>
  <c r="AT4" i="1"/>
  <c r="AS4" i="1"/>
  <c r="AR4" i="1"/>
  <c r="AQ4" i="1"/>
  <c r="AO15" i="1"/>
  <c r="AG15" i="1"/>
  <c r="AJ15" i="1" s="1"/>
  <c r="AM5" i="1"/>
  <c r="AC11" i="1"/>
  <c r="AC16" i="1"/>
  <c r="AC27" i="1"/>
  <c r="Z27" i="1"/>
  <c r="AC18" i="1"/>
  <c r="Z18" i="1"/>
  <c r="AC2" i="1"/>
  <c r="AM8" i="1"/>
  <c r="AR3" i="1"/>
  <c r="AM4" i="1"/>
  <c r="AC6" i="1"/>
  <c r="AY6" i="1"/>
  <c r="AC10" i="1"/>
  <c r="AP20" i="1"/>
  <c r="AZ20" i="1" s="1"/>
  <c r="BA20" i="1" s="1"/>
  <c r="BC20" i="1" s="1"/>
  <c r="AS3" i="1"/>
  <c r="Z6" i="1"/>
  <c r="AP8" i="1"/>
  <c r="AM10" i="1"/>
  <c r="AQ28" i="1"/>
  <c r="AR34" i="1"/>
  <c r="BB24" i="1"/>
  <c r="AP24" i="1"/>
  <c r="AU24" i="1"/>
  <c r="AW24" i="1"/>
  <c r="AV24" i="1"/>
  <c r="AT24" i="1"/>
  <c r="AT3" i="1"/>
  <c r="AX5" i="1"/>
  <c r="Q5" i="1"/>
  <c r="AW5" i="1"/>
  <c r="AV5" i="1"/>
  <c r="AQ8" i="1"/>
  <c r="AX9" i="1"/>
  <c r="Q9" i="1"/>
  <c r="AW9" i="1"/>
  <c r="AV9" i="1"/>
  <c r="AM16" i="1"/>
  <c r="Z23" i="1"/>
  <c r="AR28" i="1"/>
  <c r="AS34" i="1"/>
  <c r="AU3" i="1"/>
  <c r="Z4" i="1"/>
  <c r="AR8" i="1"/>
  <c r="AM9" i="1"/>
  <c r="AM11" i="1"/>
  <c r="AZ15" i="1"/>
  <c r="BA15" i="1" s="1"/>
  <c r="BC15" i="1" s="1"/>
  <c r="AR16" i="1"/>
  <c r="Z20" i="1"/>
  <c r="AP21" i="1"/>
  <c r="V21" i="1"/>
  <c r="AB21" i="1" s="1"/>
  <c r="BB25" i="1"/>
  <c r="AP25" i="1"/>
  <c r="AV25" i="1"/>
  <c r="AU25" i="1"/>
  <c r="AS25" i="1"/>
  <c r="AR25" i="1"/>
  <c r="Q25" i="1"/>
  <c r="AQ25" i="1"/>
  <c r="BB32" i="1"/>
  <c r="AP32" i="1"/>
  <c r="AX32" i="1"/>
  <c r="Q32" i="1"/>
  <c r="AV32" i="1"/>
  <c r="AU32" i="1"/>
  <c r="AY32" i="1"/>
  <c r="AW32" i="1"/>
  <c r="AT32" i="1"/>
  <c r="AC7" i="1"/>
  <c r="AS8" i="1"/>
  <c r="AC23" i="1"/>
  <c r="AC26" i="1"/>
  <c r="AX6" i="1"/>
  <c r="Q6" i="1"/>
  <c r="AV6" i="1"/>
  <c r="AW6" i="1"/>
  <c r="AR6" i="1"/>
  <c r="AM6" i="1"/>
  <c r="AU8" i="1"/>
  <c r="AP12" i="1"/>
  <c r="Z2" i="1"/>
  <c r="AY8" i="1"/>
  <c r="Q16" i="1"/>
  <c r="AV16" i="1"/>
  <c r="AC20" i="1"/>
  <c r="Z22" i="1"/>
  <c r="BB34" i="1"/>
  <c r="AP34" i="1"/>
  <c r="AX34" i="1"/>
  <c r="Q34" i="1"/>
  <c r="AV34" i="1"/>
  <c r="AU34" i="1"/>
  <c r="AY34" i="1"/>
  <c r="AQ6" i="1"/>
  <c r="AX16" i="1"/>
  <c r="AC30" i="1"/>
  <c r="AX3" i="1"/>
  <c r="Q3" i="1"/>
  <c r="AV3" i="1"/>
  <c r="AW3" i="1"/>
  <c r="AY3" i="1"/>
  <c r="Z9" i="1"/>
  <c r="AM3" i="1"/>
  <c r="AS6" i="1"/>
  <c r="AM21" i="1"/>
  <c r="AX8" i="1"/>
  <c r="Q8" i="1"/>
  <c r="AW8" i="1"/>
  <c r="AV8" i="1"/>
  <c r="AT8" i="1"/>
  <c r="AP6" i="1"/>
  <c r="AP3" i="1"/>
  <c r="AT6" i="1"/>
  <c r="Z16" i="1"/>
  <c r="AM28" i="1"/>
  <c r="AU10" i="1"/>
  <c r="Q10" i="1"/>
  <c r="AY10" i="1"/>
  <c r="Z11" i="1"/>
  <c r="AU16" i="1"/>
  <c r="AQ16" i="1"/>
  <c r="AP16" i="1"/>
  <c r="BB16" i="1"/>
  <c r="BB28" i="1"/>
  <c r="AP28" i="1"/>
  <c r="AX28" i="1"/>
  <c r="AV28" i="1"/>
  <c r="AU28" i="1"/>
  <c r="AY28" i="1"/>
  <c r="AC17" i="1"/>
  <c r="AU19" i="1"/>
  <c r="AY19" i="1"/>
  <c r="AX19" i="1"/>
  <c r="AW19" i="1"/>
  <c r="AX7" i="1"/>
  <c r="Q7" i="1"/>
  <c r="AW7" i="1"/>
  <c r="AV7" i="1"/>
  <c r="BB7" i="1"/>
  <c r="AV19" i="1"/>
  <c r="BB27" i="1"/>
  <c r="AP27" i="1"/>
  <c r="AV27" i="1"/>
  <c r="AU27" i="1"/>
  <c r="AQ27" i="1"/>
  <c r="AM33" i="1"/>
  <c r="BB22" i="1"/>
  <c r="AP22" i="1"/>
  <c r="AU22" i="1"/>
  <c r="AP11" i="1"/>
  <c r="AV13" i="1"/>
  <c r="AV22" i="1"/>
  <c r="AQ11" i="1"/>
  <c r="AW13" i="1"/>
  <c r="AW22" i="1"/>
  <c r="AM32" i="1"/>
  <c r="BB26" i="1"/>
  <c r="AP26" i="1"/>
  <c r="AV26" i="1"/>
  <c r="AU26" i="1"/>
  <c r="BB29" i="1"/>
  <c r="AP29" i="1"/>
  <c r="AX29" i="1"/>
  <c r="Q29" i="1"/>
  <c r="AV29" i="1"/>
  <c r="AU29" i="1"/>
  <c r="AM31" i="1"/>
  <c r="BB23" i="1"/>
  <c r="AP23" i="1"/>
  <c r="AU23" i="1"/>
  <c r="BB33" i="1"/>
  <c r="AP33" i="1"/>
  <c r="AX33" i="1"/>
  <c r="Q33" i="1"/>
  <c r="AV33" i="1"/>
  <c r="AU33" i="1"/>
  <c r="AZ21" i="1" l="1"/>
  <c r="BA21" i="1" s="1"/>
  <c r="BC21" i="1" s="1"/>
  <c r="AZ12" i="1"/>
  <c r="BA12" i="1" s="1"/>
  <c r="BC12" i="1" s="1"/>
  <c r="Z7" i="1"/>
  <c r="Z26" i="1"/>
  <c r="AZ10" i="1"/>
  <c r="AC3" i="1"/>
  <c r="Y3" i="1"/>
  <c r="Z24" i="1"/>
  <c r="Y24" i="1"/>
  <c r="AC13" i="1"/>
  <c r="Y13" i="1"/>
  <c r="Z32" i="1"/>
  <c r="AO32" i="1" s="1"/>
  <c r="AO10" i="1"/>
  <c r="Z14" i="1"/>
  <c r="AO14" i="1" s="1"/>
  <c r="Z21" i="1"/>
  <c r="AG21" i="1" s="1"/>
  <c r="AJ21" i="1" s="1"/>
  <c r="Y21" i="1"/>
  <c r="Z29" i="1"/>
  <c r="Y29" i="1"/>
  <c r="AC14" i="1"/>
  <c r="AC32" i="1"/>
  <c r="AZ9" i="1"/>
  <c r="BA9" i="1" s="1"/>
  <c r="BC9" i="1" s="1"/>
  <c r="Z28" i="1"/>
  <c r="AO28" i="1" s="1"/>
  <c r="Z8" i="1"/>
  <c r="AG8" i="1" s="1"/>
  <c r="AJ8" i="1" s="1"/>
  <c r="AZ5" i="1"/>
  <c r="BA5" i="1" s="1"/>
  <c r="BC5" i="1" s="1"/>
  <c r="Z17" i="1"/>
  <c r="AG17" i="1" s="1"/>
  <c r="AJ17" i="1" s="1"/>
  <c r="AK17" i="1" s="1"/>
  <c r="AL17" i="1" s="1"/>
  <c r="AC29" i="1"/>
  <c r="AC8" i="1"/>
  <c r="AC24" i="1"/>
  <c r="AC25" i="1"/>
  <c r="Z12" i="1"/>
  <c r="AG12" i="1" s="1"/>
  <c r="AJ12" i="1" s="1"/>
  <c r="Z25" i="1"/>
  <c r="AG25" i="1" s="1"/>
  <c r="AJ25" i="1" s="1"/>
  <c r="AC12" i="1"/>
  <c r="Z3" i="1"/>
  <c r="AG3" i="1" s="1"/>
  <c r="AJ3" i="1" s="1"/>
  <c r="Z13" i="1"/>
  <c r="AG13" i="1" s="1"/>
  <c r="AJ13" i="1" s="1"/>
  <c r="Z5" i="1"/>
  <c r="AG5" i="1" s="1"/>
  <c r="AC5" i="1"/>
  <c r="Z33" i="1"/>
  <c r="AO33" i="1" s="1"/>
  <c r="Z34" i="1"/>
  <c r="AC33" i="1"/>
  <c r="AC31" i="1"/>
  <c r="AC34" i="1"/>
  <c r="AC28" i="1"/>
  <c r="AO19" i="1"/>
  <c r="AG19" i="1"/>
  <c r="AJ19" i="1" s="1"/>
  <c r="Z31" i="1"/>
  <c r="AO31" i="1" s="1"/>
  <c r="AZ13" i="1"/>
  <c r="BA13" i="1" s="1"/>
  <c r="BC13" i="1" s="1"/>
  <c r="AZ7" i="1"/>
  <c r="BA7" i="1" s="1"/>
  <c r="BC7" i="1" s="1"/>
  <c r="AZ19" i="1"/>
  <c r="BA19" i="1" s="1"/>
  <c r="BC19" i="1" s="1"/>
  <c r="AZ22" i="1"/>
  <c r="BA22" i="1" s="1"/>
  <c r="BC22" i="1" s="1"/>
  <c r="AZ27" i="1"/>
  <c r="BA27" i="1" s="1"/>
  <c r="BC27" i="1" s="1"/>
  <c r="AZ16" i="1"/>
  <c r="BA16" i="1" s="1"/>
  <c r="BC16" i="1" s="1"/>
  <c r="AZ34" i="1"/>
  <c r="BA34" i="1" s="1"/>
  <c r="BC34" i="1" s="1"/>
  <c r="AO16" i="1"/>
  <c r="AG16" i="1"/>
  <c r="AJ16" i="1" s="1"/>
  <c r="AZ33" i="1"/>
  <c r="BA33" i="1" s="1"/>
  <c r="BC33" i="1" s="1"/>
  <c r="AO2" i="1"/>
  <c r="AG2" i="1"/>
  <c r="AJ2" i="1" s="1"/>
  <c r="AZ32" i="1"/>
  <c r="BA32" i="1" s="1"/>
  <c r="BC32" i="1" s="1"/>
  <c r="AO20" i="1"/>
  <c r="AG20" i="1"/>
  <c r="AJ20" i="1" s="1"/>
  <c r="AZ29" i="1"/>
  <c r="BA29" i="1" s="1"/>
  <c r="BC29" i="1" s="1"/>
  <c r="AZ11" i="1"/>
  <c r="BA11" i="1" s="1"/>
  <c r="BC11" i="1" s="1"/>
  <c r="AZ3" i="1"/>
  <c r="BA3" i="1" s="1"/>
  <c r="BC3" i="1" s="1"/>
  <c r="AG18" i="1"/>
  <c r="AJ18" i="1" s="1"/>
  <c r="AO18" i="1"/>
  <c r="AZ28" i="1"/>
  <c r="BA28" i="1" s="1"/>
  <c r="BC28" i="1" s="1"/>
  <c r="AO11" i="1"/>
  <c r="AG11" i="1"/>
  <c r="AJ11" i="1" s="1"/>
  <c r="AZ6" i="1"/>
  <c r="BA6" i="1" s="1"/>
  <c r="BC6" i="1" s="1"/>
  <c r="AO26" i="1"/>
  <c r="AG26" i="1"/>
  <c r="AJ26" i="1" s="1"/>
  <c r="BA10" i="1"/>
  <c r="BC10" i="1" s="1"/>
  <c r="BB30" i="1"/>
  <c r="AP30" i="1"/>
  <c r="AX30" i="1"/>
  <c r="Q30" i="1"/>
  <c r="AV30" i="1"/>
  <c r="AU30" i="1"/>
  <c r="AT30" i="1"/>
  <c r="AS30" i="1"/>
  <c r="AR30" i="1"/>
  <c r="AW30" i="1"/>
  <c r="AQ30" i="1"/>
  <c r="AY30" i="1"/>
  <c r="AO23" i="1"/>
  <c r="AG23" i="1"/>
  <c r="AJ23" i="1" s="1"/>
  <c r="AZ8" i="1"/>
  <c r="BA8" i="1" s="1"/>
  <c r="BC8" i="1" s="1"/>
  <c r="AO27" i="1"/>
  <c r="AG27" i="1"/>
  <c r="AJ27" i="1" s="1"/>
  <c r="AO30" i="1"/>
  <c r="AO7" i="1"/>
  <c r="AG7" i="1"/>
  <c r="AJ7" i="1" s="1"/>
  <c r="AJ30" i="1"/>
  <c r="AZ23" i="1"/>
  <c r="BA23" i="1" s="1"/>
  <c r="BC23" i="1" s="1"/>
  <c r="AO9" i="1"/>
  <c r="AG9" i="1"/>
  <c r="AJ9" i="1" s="1"/>
  <c r="AO25" i="1"/>
  <c r="AG4" i="1"/>
  <c r="AJ4" i="1" s="1"/>
  <c r="AO4" i="1"/>
  <c r="AO6" i="1"/>
  <c r="AG6" i="1"/>
  <c r="AJ6" i="1" s="1"/>
  <c r="AG24" i="1"/>
  <c r="AJ24" i="1" s="1"/>
  <c r="AO24" i="1"/>
  <c r="AZ4" i="1"/>
  <c r="BA4" i="1" s="1"/>
  <c r="BC4" i="1" s="1"/>
  <c r="AG22" i="1"/>
  <c r="AJ22" i="1" s="1"/>
  <c r="AO22" i="1"/>
  <c r="AH15" i="1"/>
  <c r="AI15" i="1" s="1"/>
  <c r="AK15" i="1"/>
  <c r="AL15" i="1" s="1"/>
  <c r="BE15" i="1"/>
  <c r="AZ26" i="1"/>
  <c r="BA26" i="1" s="1"/>
  <c r="BC26" i="1" s="1"/>
  <c r="AP31" i="1"/>
  <c r="AX31" i="1"/>
  <c r="Q31" i="1"/>
  <c r="AV31" i="1"/>
  <c r="AU31" i="1"/>
  <c r="AY31" i="1"/>
  <c r="AW31" i="1"/>
  <c r="AT31" i="1"/>
  <c r="AS31" i="1"/>
  <c r="AR31" i="1"/>
  <c r="AQ31" i="1"/>
  <c r="AZ25" i="1"/>
  <c r="BA25" i="1" s="1"/>
  <c r="BC25" i="1" s="1"/>
  <c r="AZ24" i="1"/>
  <c r="BA24" i="1" s="1"/>
  <c r="BC24" i="1" s="1"/>
  <c r="AH10" i="1"/>
  <c r="AI10" i="1" s="1"/>
  <c r="AK10" i="1"/>
  <c r="AL10" i="1" s="1"/>
  <c r="AM30" i="1"/>
  <c r="AC21" i="1"/>
  <c r="AO29" i="1"/>
  <c r="AG29" i="1"/>
  <c r="AJ29" i="1" s="1"/>
  <c r="AG14" i="1" l="1"/>
  <c r="AJ14" i="1" s="1"/>
  <c r="BE14" i="1" s="1"/>
  <c r="AO21" i="1"/>
  <c r="AG32" i="1"/>
  <c r="AJ32" i="1" s="1"/>
  <c r="AK32" i="1" s="1"/>
  <c r="AL32" i="1" s="1"/>
  <c r="AO12" i="1"/>
  <c r="AO3" i="1"/>
  <c r="AO8" i="1"/>
  <c r="AG28" i="1"/>
  <c r="AJ28" i="1" s="1"/>
  <c r="AK28" i="1" s="1"/>
  <c r="AL28" i="1" s="1"/>
  <c r="AH17" i="1"/>
  <c r="AI17" i="1" s="1"/>
  <c r="BE17" i="1"/>
  <c r="AO13" i="1"/>
  <c r="AO17" i="1"/>
  <c r="AG33" i="1"/>
  <c r="AJ33" i="1" s="1"/>
  <c r="AH33" i="1" s="1"/>
  <c r="AI33" i="1" s="1"/>
  <c r="AG31" i="1"/>
  <c r="AJ31" i="1" s="1"/>
  <c r="AH31" i="1" s="1"/>
  <c r="AI31" i="1" s="1"/>
  <c r="AO5" i="1"/>
  <c r="AH19" i="1"/>
  <c r="AI19" i="1" s="1"/>
  <c r="AK19" i="1"/>
  <c r="AL19" i="1" s="1"/>
  <c r="AO34" i="1"/>
  <c r="AG34" i="1"/>
  <c r="AJ34" i="1" s="1"/>
  <c r="BE19" i="1"/>
  <c r="BE10" i="1"/>
  <c r="AH24" i="1"/>
  <c r="AI24" i="1" s="1"/>
  <c r="AK24" i="1"/>
  <c r="AL24" i="1" s="1"/>
  <c r="BE24" i="1"/>
  <c r="AK30" i="1"/>
  <c r="AL30" i="1" s="1"/>
  <c r="AH30" i="1"/>
  <c r="AI30" i="1" s="1"/>
  <c r="AH20" i="1"/>
  <c r="AI20" i="1" s="1"/>
  <c r="AK20" i="1"/>
  <c r="AL20" i="1" s="1"/>
  <c r="BE20" i="1"/>
  <c r="AH16" i="1"/>
  <c r="AI16" i="1" s="1"/>
  <c r="BE16" i="1"/>
  <c r="AK16" i="1"/>
  <c r="AL16" i="1" s="1"/>
  <c r="AK6" i="1"/>
  <c r="AL6" i="1" s="1"/>
  <c r="BE6" i="1"/>
  <c r="AH6" i="1"/>
  <c r="AI6" i="1" s="1"/>
  <c r="AK7" i="1"/>
  <c r="AL7" i="1" s="1"/>
  <c r="BE7" i="1"/>
  <c r="AH7" i="1"/>
  <c r="AI7" i="1" s="1"/>
  <c r="AH11" i="1"/>
  <c r="AI11" i="1" s="1"/>
  <c r="BE11" i="1"/>
  <c r="AK11" i="1"/>
  <c r="AL11" i="1" s="1"/>
  <c r="AK2" i="1"/>
  <c r="AJ5" i="1"/>
  <c r="AH26" i="1"/>
  <c r="AI26" i="1" s="1"/>
  <c r="AK26" i="1"/>
  <c r="AL26" i="1" s="1"/>
  <c r="BE26" i="1"/>
  <c r="AK4" i="1"/>
  <c r="AL4" i="1" s="1"/>
  <c r="BE4" i="1"/>
  <c r="AH4" i="1"/>
  <c r="AI4" i="1" s="1"/>
  <c r="AH18" i="1"/>
  <c r="AI18" i="1" s="1"/>
  <c r="BE18" i="1"/>
  <c r="AK18" i="1"/>
  <c r="AL18" i="1" s="1"/>
  <c r="AH21" i="1"/>
  <c r="AI21" i="1" s="1"/>
  <c r="BE21" i="1"/>
  <c r="AK21" i="1"/>
  <c r="AL21" i="1" s="1"/>
  <c r="AH13" i="1"/>
  <c r="AI13" i="1" s="1"/>
  <c r="BE13" i="1"/>
  <c r="AK13" i="1"/>
  <c r="AL13" i="1" s="1"/>
  <c r="AH27" i="1"/>
  <c r="AI27" i="1" s="1"/>
  <c r="BE27" i="1"/>
  <c r="AK27" i="1"/>
  <c r="AL27" i="1" s="1"/>
  <c r="AK29" i="1"/>
  <c r="AL29" i="1" s="1"/>
  <c r="AH29" i="1"/>
  <c r="AI29" i="1" s="1"/>
  <c r="BE29" i="1"/>
  <c r="AH22" i="1"/>
  <c r="AI22" i="1" s="1"/>
  <c r="AK22" i="1"/>
  <c r="AL22" i="1" s="1"/>
  <c r="BE22" i="1"/>
  <c r="AH28" i="1"/>
  <c r="AI28" i="1" s="1"/>
  <c r="BE28" i="1"/>
  <c r="AH25" i="1"/>
  <c r="AI25" i="1" s="1"/>
  <c r="AK25" i="1"/>
  <c r="AL25" i="1" s="1"/>
  <c r="BE25" i="1"/>
  <c r="AK3" i="1"/>
  <c r="AL3" i="1" s="1"/>
  <c r="BE3" i="1"/>
  <c r="AH3" i="1"/>
  <c r="AI3" i="1" s="1"/>
  <c r="AK9" i="1"/>
  <c r="AL9" i="1" s="1"/>
  <c r="BE9" i="1"/>
  <c r="AH9" i="1"/>
  <c r="AI9" i="1" s="1"/>
  <c r="AK8" i="1"/>
  <c r="AL8" i="1" s="1"/>
  <c r="AH8" i="1"/>
  <c r="AI8" i="1" s="1"/>
  <c r="BE8" i="1"/>
  <c r="AZ31" i="1"/>
  <c r="BA31" i="1" s="1"/>
  <c r="BC31" i="1" s="1"/>
  <c r="E36" i="1"/>
  <c r="AX2" i="1"/>
  <c r="AX36" i="1" s="1"/>
  <c r="Q2" i="1"/>
  <c r="Q36" i="1" s="1"/>
  <c r="AW2" i="1"/>
  <c r="AW36" i="1" s="1"/>
  <c r="AK37" i="1"/>
  <c r="AP2" i="1"/>
  <c r="AV2" i="1"/>
  <c r="AV36" i="1" s="1"/>
  <c r="AS2" i="1"/>
  <c r="AS36" i="1" s="1"/>
  <c r="AU2" i="1"/>
  <c r="AU36" i="1" s="1"/>
  <c r="AT2" i="1"/>
  <c r="AT36" i="1" s="1"/>
  <c r="AQ2" i="1"/>
  <c r="AQ36" i="1" s="1"/>
  <c r="AR2" i="1"/>
  <c r="AR36" i="1" s="1"/>
  <c r="BB2" i="1"/>
  <c r="BB36" i="1" s="1"/>
  <c r="AY2" i="1"/>
  <c r="AY36" i="1" s="1"/>
  <c r="AM2" i="1"/>
  <c r="AH23" i="1"/>
  <c r="AI23" i="1" s="1"/>
  <c r="AK23" i="1"/>
  <c r="AL23" i="1" s="1"/>
  <c r="BE23" i="1"/>
  <c r="AZ30" i="1"/>
  <c r="BA30" i="1" s="1"/>
  <c r="AH12" i="1"/>
  <c r="AI12" i="1" s="1"/>
  <c r="BE12" i="1"/>
  <c r="AK12" i="1"/>
  <c r="AL12" i="1" s="1"/>
  <c r="BE32" i="1" l="1"/>
  <c r="AH32" i="1"/>
  <c r="AI32" i="1" s="1"/>
  <c r="AH14" i="1"/>
  <c r="AI14" i="1" s="1"/>
  <c r="AK14" i="1"/>
  <c r="AL14" i="1" s="1"/>
  <c r="AA2" i="1"/>
  <c r="AA14" i="1"/>
  <c r="AA26" i="1"/>
  <c r="AA3" i="1"/>
  <c r="AA15" i="1"/>
  <c r="AA27" i="1"/>
  <c r="AA4" i="1"/>
  <c r="AA16" i="1"/>
  <c r="AA28" i="1"/>
  <c r="AA5" i="1"/>
  <c r="AA17" i="1"/>
  <c r="AA29" i="1"/>
  <c r="AA6" i="1"/>
  <c r="AA18" i="1"/>
  <c r="AA30" i="1"/>
  <c r="AA7" i="1"/>
  <c r="AA19" i="1"/>
  <c r="AA31" i="1"/>
  <c r="AA8" i="1"/>
  <c r="AA20" i="1"/>
  <c r="AA32" i="1"/>
  <c r="AA9" i="1"/>
  <c r="AA21" i="1"/>
  <c r="AA33" i="1"/>
  <c r="AA10" i="1"/>
  <c r="AA22" i="1"/>
  <c r="AA34" i="1"/>
  <c r="AA11" i="1"/>
  <c r="AA23" i="1"/>
  <c r="AA12" i="1"/>
  <c r="AA24" i="1"/>
  <c r="AA13" i="1"/>
  <c r="AA25" i="1"/>
  <c r="AO36" i="1"/>
  <c r="AK33" i="1"/>
  <c r="AL33" i="1" s="1"/>
  <c r="AH2" i="1"/>
  <c r="AI2" i="1" s="1"/>
  <c r="AK31" i="1"/>
  <c r="AL31" i="1" s="1"/>
  <c r="BE33" i="1"/>
  <c r="AK34" i="1"/>
  <c r="AL34" i="1" s="1"/>
  <c r="AH34" i="1"/>
  <c r="AI34" i="1" s="1"/>
  <c r="BE34" i="1"/>
  <c r="BC30" i="1"/>
  <c r="BE30" i="1"/>
  <c r="Z36" i="1"/>
  <c r="Z37" i="1" s="1"/>
  <c r="L36" i="1"/>
  <c r="W36" i="1"/>
  <c r="J36" i="1"/>
  <c r="T36" i="1"/>
  <c r="H36" i="1"/>
  <c r="R36" i="1"/>
  <c r="F36" i="1"/>
  <c r="AF36" i="1"/>
  <c r="G36" i="1"/>
  <c r="AC36" i="1"/>
  <c r="AA36" i="1"/>
  <c r="X36" i="1"/>
  <c r="V36" i="1"/>
  <c r="N36" i="1"/>
  <c r="M36" i="1"/>
  <c r="K36" i="1"/>
  <c r="I36" i="1"/>
  <c r="S36" i="1"/>
  <c r="P36" i="1"/>
  <c r="O36" i="1"/>
  <c r="AK5" i="1"/>
  <c r="AL5" i="1" s="1"/>
  <c r="BE5" i="1"/>
  <c r="AH5" i="1"/>
  <c r="AI5" i="1" s="1"/>
  <c r="BE31" i="1"/>
  <c r="AP36" i="1"/>
  <c r="AZ2" i="1"/>
  <c r="AZ36" i="1" s="1"/>
  <c r="AJ36" i="1"/>
  <c r="AH36" i="1" s="1"/>
  <c r="AM36" i="1"/>
  <c r="AG36" i="1"/>
  <c r="AL2" i="1"/>
  <c r="AK36" i="1" l="1"/>
  <c r="AL36" i="1" s="1"/>
  <c r="AI36" i="1" s="1"/>
  <c r="BA2" i="1"/>
  <c r="BC2" i="1" s="1"/>
  <c r="BC36" i="1" s="1"/>
  <c r="BA36" i="1" l="1"/>
  <c r="B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Ahmad Faraz</author>
  </authors>
  <commentList>
    <comment ref="Z1" authorId="0" shapeId="0" xr:uid="{C711FADD-63D9-4041-8461-60EC965BA40C}">
      <text>
        <r>
          <rPr>
            <b/>
            <sz val="9"/>
            <color indexed="81"/>
            <rFont val="Tahoma"/>
            <family val="2"/>
          </rPr>
          <t>Per PC Profit</t>
        </r>
      </text>
    </comment>
    <comment ref="AO31" authorId="0" shapeId="0" xr:uid="{94D4AD9B-9465-432F-AD43-B1F81239EAFF}">
      <text>
        <r>
          <rPr>
            <b/>
            <sz val="9"/>
            <color indexed="81"/>
            <rFont val="Tahoma"/>
            <family val="2"/>
          </rPr>
          <t>To match budget bottom line with this sheet.</t>
        </r>
      </text>
    </comment>
    <comment ref="BB31" authorId="0" shapeId="0" xr:uid="{2ECA4B02-FC36-48C1-ABA7-BABF730FC144}">
      <text>
        <r>
          <rPr>
            <b/>
            <sz val="9"/>
            <color indexed="81"/>
            <rFont val="Tahoma"/>
            <family val="2"/>
          </rPr>
          <t>Adj. to match budget bottom line with this sheet.</t>
        </r>
      </text>
    </comment>
  </commentList>
</comments>
</file>

<file path=xl/sharedStrings.xml><?xml version="1.0" encoding="utf-8"?>
<sst xmlns="http://schemas.openxmlformats.org/spreadsheetml/2006/main" count="160" uniqueCount="94">
  <si>
    <t>Team</t>
  </si>
  <si>
    <t>Wash Type</t>
  </si>
  <si>
    <t>Payment Term</t>
  </si>
  <si>
    <t>Customer</t>
  </si>
  <si>
    <t>Qty</t>
  </si>
  <si>
    <t>Fabric Cons</t>
  </si>
  <si>
    <t>Fab Price</t>
  </si>
  <si>
    <t>Fabric</t>
  </si>
  <si>
    <t>Pocket Cons</t>
  </si>
  <si>
    <t>Pocketing Price</t>
  </si>
  <si>
    <t>Pocketing</t>
  </si>
  <si>
    <t>Trim</t>
  </si>
  <si>
    <t>Testing</t>
  </si>
  <si>
    <t>Sampling</t>
  </si>
  <si>
    <t>Chemical</t>
  </si>
  <si>
    <t>SAM</t>
  </si>
  <si>
    <t>Total SAM</t>
  </si>
  <si>
    <t>Wash OH</t>
  </si>
  <si>
    <t xml:space="preserve">OH </t>
  </si>
  <si>
    <t>Freight</t>
  </si>
  <si>
    <t xml:space="preserve">Waste % </t>
  </si>
  <si>
    <t>Wastage</t>
  </si>
  <si>
    <t>Finance Cost</t>
  </si>
  <si>
    <t>Commission</t>
  </si>
  <si>
    <t>Comm %age</t>
  </si>
  <si>
    <t>Profit</t>
  </si>
  <si>
    <t>Vol %</t>
  </si>
  <si>
    <t>Cost Price</t>
  </si>
  <si>
    <t>Check</t>
  </si>
  <si>
    <t>Provided FOB</t>
  </si>
  <si>
    <t>Addition</t>
  </si>
  <si>
    <t>Target FOB</t>
  </si>
  <si>
    <t>CM</t>
  </si>
  <si>
    <t xml:space="preserve">Per Min CM </t>
  </si>
  <si>
    <t>Per Min CM USD</t>
  </si>
  <si>
    <t>Value (CM) USD</t>
  </si>
  <si>
    <t>Value (CM) PKR</t>
  </si>
  <si>
    <t>CM/ Minute</t>
  </si>
  <si>
    <t>FOB Value</t>
  </si>
  <si>
    <t>Parity Rate</t>
  </si>
  <si>
    <t>Total Profit</t>
  </si>
  <si>
    <t>Total Fabric Cost</t>
  </si>
  <si>
    <t>Total Pocketing</t>
  </si>
  <si>
    <t>Total Trim</t>
  </si>
  <si>
    <t>Total Testing</t>
  </si>
  <si>
    <t>Total Sampling</t>
  </si>
  <si>
    <t>Total Chemical</t>
  </si>
  <si>
    <t>Total Wash OH</t>
  </si>
  <si>
    <t>Total Freight Cost</t>
  </si>
  <si>
    <t>Total Finance Cost</t>
  </si>
  <si>
    <t>Total Commission</t>
  </si>
  <si>
    <t>Total Variable Cost</t>
  </si>
  <si>
    <t>Total Contribution</t>
  </si>
  <si>
    <t>Overheads</t>
  </si>
  <si>
    <t>Net Profit</t>
  </si>
  <si>
    <t>Code</t>
  </si>
  <si>
    <t>Check2</t>
  </si>
  <si>
    <t>NAQEEB</t>
  </si>
  <si>
    <t>NON DENIM</t>
  </si>
  <si>
    <t>JACK &amp; JONES</t>
  </si>
  <si>
    <t>DENIM</t>
  </si>
  <si>
    <t>NAME IT</t>
  </si>
  <si>
    <t>BLACK DIAMOND</t>
  </si>
  <si>
    <t>GLORIA JEANS</t>
  </si>
  <si>
    <t>NEMESIS</t>
  </si>
  <si>
    <t>RIZWAN</t>
  </si>
  <si>
    <t>HERO/STOOKER</t>
  </si>
  <si>
    <t>SORBINO</t>
  </si>
  <si>
    <t>ELVIN</t>
  </si>
  <si>
    <t>ORIGINAL MARINE</t>
  </si>
  <si>
    <t>SWING JEANS</t>
  </si>
  <si>
    <t>NEW YORKER</t>
  </si>
  <si>
    <t>LPP</t>
  </si>
  <si>
    <t>ECONOVA</t>
  </si>
  <si>
    <t>DEEP</t>
  </si>
  <si>
    <t>AEROPOSTALE</t>
  </si>
  <si>
    <t>LUCKY BRANDS</t>
  </si>
  <si>
    <t>FASHION NOVA</t>
  </si>
  <si>
    <t>RMIXED</t>
  </si>
  <si>
    <t>SCANDIC</t>
  </si>
  <si>
    <t>INDITEX</t>
  </si>
  <si>
    <t>UK MKT</t>
  </si>
  <si>
    <t>RASHID</t>
  </si>
  <si>
    <t>KIABI MEN</t>
  </si>
  <si>
    <t>KIABI KIDS</t>
  </si>
  <si>
    <t>FARRUKH</t>
  </si>
  <si>
    <t>C&amp;A MEN</t>
  </si>
  <si>
    <t>C&amp;A LADIES</t>
  </si>
  <si>
    <t>C&amp;A-KIDS</t>
  </si>
  <si>
    <t>TEAM LEAD</t>
  </si>
  <si>
    <t>WASH TYPE</t>
  </si>
  <si>
    <t>CUSTOMER</t>
  </si>
  <si>
    <t>Total</t>
  </si>
  <si>
    <t>Vero 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</si>
</sst>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_);_(@_)"/>
    <numFmt numFmtId="167" formatCode="_-&quot;Rs&quot;* #,##0.00_-;\-&quot;Rs&quot;* #,##0.00_-;_-&quot;Rs&quot;* &quot;-&quot;??_-;_-@_-"/>
    <numFmt numFmtId="168" formatCode="_-[$$-409]* #,##0.00_ ;_-[$$-409]* \-#,##0.00\ ;_-[$$-409]* &quot;-&quot;??_ ;_-@_ "/>
    <numFmt numFmtId="169" formatCode="_-[$$-409]* #,##0_ ;_-[$$-409]* \-#,##0\ ;_-[$$-409]* &quot;-&quot;??_ ;_-@_ "/>
  </numFmts>
  <fonts count="13" x14ac:knownFonts="1"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">
    <xf numFmtId="37" fontId="0" fillId="0" borderId="0">
      <alignment vertical="center"/>
      <protection hidden="1"/>
    </xf>
    <xf numFmtId="43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57">
    <xf numFmtId="37" fontId="0" fillId="0" borderId="0" xfId="0">
      <alignment vertical="center"/>
      <protection hidden="1"/>
    </xf>
    <xf numFmtId="37" fontId="7" fillId="0" borderId="0" xfId="0" applyFont="1" applyAlignment="1" applyProtection="1"/>
    <xf numFmtId="164" fontId="7" fillId="0" borderId="0" xfId="1" applyNumberFormat="1" applyFont="1" applyAlignment="1" applyProtection="1"/>
    <xf numFmtId="43" fontId="7" fillId="0" borderId="0" xfId="1" applyFont="1"/>
    <xf numFmtId="165" fontId="7" fillId="0" borderId="0" xfId="3" applyNumberFormat="1" applyFont="1" applyAlignment="1" applyProtection="1"/>
    <xf numFmtId="166" fontId="7" fillId="0" borderId="0" xfId="1" applyNumberFormat="1" applyFont="1" applyAlignment="1" applyProtection="1"/>
    <xf numFmtId="15" fontId="4" fillId="2" borderId="1" xfId="1" applyNumberFormat="1" applyFont="1" applyFill="1" applyBorder="1" applyAlignment="1">
      <alignment horizontal="center" vertical="center" wrapText="1"/>
    </xf>
    <xf numFmtId="15" fontId="4" fillId="2" borderId="2" xfId="1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43" fontId="4" fillId="2" borderId="3" xfId="1" applyFont="1" applyFill="1" applyBorder="1" applyAlignment="1">
      <alignment horizontal="center" vertical="center" wrapText="1"/>
    </xf>
    <xf numFmtId="37" fontId="7" fillId="0" borderId="0" xfId="0" applyFont="1" applyAlignment="1" applyProtection="1">
      <alignment horizontal="center" vertical="center" wrapText="1"/>
    </xf>
    <xf numFmtId="37" fontId="7" fillId="0" borderId="4" xfId="0" applyFont="1" applyBorder="1" applyAlignment="1" applyProtection="1"/>
    <xf numFmtId="164" fontId="1" fillId="0" borderId="5" xfId="0" applyNumberFormat="1" applyFont="1" applyBorder="1" applyAlignment="1" applyProtection="1">
      <alignment horizontal="left"/>
    </xf>
    <xf numFmtId="164" fontId="7" fillId="0" borderId="5" xfId="1" applyNumberFormat="1" applyFont="1" applyFill="1" applyBorder="1"/>
    <xf numFmtId="43" fontId="7" fillId="0" borderId="5" xfId="1" applyFont="1" applyFill="1" applyBorder="1"/>
    <xf numFmtId="165" fontId="6" fillId="0" borderId="5" xfId="3" applyNumberFormat="1" applyFont="1" applyFill="1" applyBorder="1"/>
    <xf numFmtId="44" fontId="7" fillId="0" borderId="5" xfId="2" applyFont="1" applyFill="1" applyBorder="1"/>
    <xf numFmtId="44" fontId="6" fillId="0" borderId="5" xfId="2" applyFont="1" applyFill="1" applyBorder="1"/>
    <xf numFmtId="43" fontId="7" fillId="3" borderId="5" xfId="1" applyFont="1" applyFill="1" applyBorder="1"/>
    <xf numFmtId="168" fontId="7" fillId="0" borderId="5" xfId="4" applyNumberFormat="1" applyFont="1" applyFill="1" applyBorder="1"/>
    <xf numFmtId="168" fontId="7" fillId="0" borderId="5" xfId="1" applyNumberFormat="1" applyFont="1" applyFill="1" applyBorder="1"/>
    <xf numFmtId="164" fontId="7" fillId="0" borderId="5" xfId="1" applyNumberFormat="1" applyFont="1" applyFill="1" applyBorder="1" applyAlignment="1" applyProtection="1"/>
    <xf numFmtId="37" fontId="7" fillId="0" borderId="5" xfId="0" applyFont="1" applyBorder="1" applyAlignment="1" applyProtection="1"/>
    <xf numFmtId="43" fontId="7" fillId="0" borderId="0" xfId="1" applyFont="1" applyAlignment="1" applyProtection="1"/>
    <xf numFmtId="43" fontId="7" fillId="0" borderId="0" xfId="1" applyFont="1" applyFill="1" applyAlignment="1" applyProtection="1"/>
    <xf numFmtId="164" fontId="1" fillId="0" borderId="0" xfId="0" applyNumberFormat="1" applyFont="1" applyAlignment="1" applyProtection="1">
      <alignment horizontal="left"/>
    </xf>
    <xf numFmtId="164" fontId="7" fillId="0" borderId="6" xfId="1" applyNumberFormat="1" applyFont="1" applyFill="1" applyBorder="1"/>
    <xf numFmtId="43" fontId="7" fillId="0" borderId="6" xfId="1" applyFont="1" applyFill="1" applyBorder="1"/>
    <xf numFmtId="43" fontId="7" fillId="0" borderId="0" xfId="1" applyFont="1" applyFill="1" applyBorder="1"/>
    <xf numFmtId="165" fontId="6" fillId="0" borderId="0" xfId="3" applyNumberFormat="1" applyFont="1" applyFill="1" applyBorder="1"/>
    <xf numFmtId="44" fontId="7" fillId="0" borderId="0" xfId="2" applyFont="1" applyFill="1" applyBorder="1"/>
    <xf numFmtId="44" fontId="6" fillId="0" borderId="0" xfId="2" applyFont="1" applyFill="1" applyBorder="1"/>
    <xf numFmtId="43" fontId="6" fillId="0" borderId="0" xfId="1" applyFont="1" applyFill="1" applyBorder="1"/>
    <xf numFmtId="168" fontId="7" fillId="0" borderId="0" xfId="4" applyNumberFormat="1" applyFont="1" applyFill="1" applyBorder="1"/>
    <xf numFmtId="164" fontId="7" fillId="0" borderId="0" xfId="1" applyNumberFormat="1" applyFont="1" applyFill="1" applyBorder="1"/>
    <xf numFmtId="168" fontId="7" fillId="0" borderId="0" xfId="1" applyNumberFormat="1" applyFont="1" applyFill="1" applyBorder="1"/>
    <xf numFmtId="164" fontId="7" fillId="0" borderId="0" xfId="1" applyNumberFormat="1" applyFont="1" applyFill="1" applyBorder="1" applyAlignment="1" applyProtection="1"/>
    <xf numFmtId="37" fontId="6" fillId="0" borderId="7" xfId="0" applyFont="1" applyBorder="1" applyAlignment="1" applyProtection="1"/>
    <xf numFmtId="37" fontId="9" fillId="0" borderId="7" xfId="0" applyFont="1" applyBorder="1" applyAlignment="1" applyProtection="1"/>
    <xf numFmtId="43" fontId="6" fillId="0" borderId="7" xfId="1" applyFont="1" applyFill="1" applyBorder="1"/>
    <xf numFmtId="43" fontId="6" fillId="0" borderId="7" xfId="1" applyFont="1" applyBorder="1" applyAlignment="1" applyProtection="1"/>
    <xf numFmtId="164" fontId="9" fillId="0" borderId="7" xfId="1" applyNumberFormat="1" applyFont="1" applyFill="1" applyBorder="1"/>
    <xf numFmtId="44" fontId="6" fillId="0" borderId="7" xfId="2" applyFont="1" applyFill="1" applyBorder="1"/>
    <xf numFmtId="168" fontId="9" fillId="0" borderId="7" xfId="4" applyNumberFormat="1" applyFont="1" applyFill="1" applyBorder="1"/>
    <xf numFmtId="43" fontId="9" fillId="0" borderId="7" xfId="1" applyFont="1" applyFill="1" applyBorder="1"/>
    <xf numFmtId="169" fontId="9" fillId="0" borderId="7" xfId="4" applyNumberFormat="1" applyFont="1" applyFill="1" applyBorder="1"/>
    <xf numFmtId="10" fontId="7" fillId="0" borderId="0" xfId="3" applyNumberFormat="1" applyFont="1" applyAlignment="1" applyProtection="1"/>
    <xf numFmtId="37" fontId="3" fillId="0" borderId="0" xfId="0" applyFont="1" applyAlignment="1" applyProtection="1"/>
    <xf numFmtId="164" fontId="2" fillId="4" borderId="5" xfId="0" applyNumberFormat="1" applyFont="1" applyFill="1" applyBorder="1" applyAlignment="1" applyProtection="1"/>
    <xf numFmtId="37" fontId="2" fillId="4" borderId="5" xfId="0" applyFont="1" applyFill="1" applyBorder="1" applyAlignment="1" applyProtection="1"/>
    <xf numFmtId="17" fontId="2" fillId="4" borderId="5" xfId="0" applyNumberFormat="1" applyFont="1" applyFill="1" applyBorder="1" applyAlignment="1" applyProtection="1">
      <alignment horizontal="center"/>
    </xf>
    <xf numFmtId="164" fontId="1" fillId="0" borderId="5" xfId="1" applyNumberFormat="1" applyFont="1" applyFill="1" applyBorder="1" applyAlignment="1" applyProtection="1">
      <alignment horizontal="left"/>
    </xf>
    <xf numFmtId="164" fontId="6" fillId="0" borderId="5" xfId="1" applyNumberFormat="1" applyFont="1" applyFill="1" applyBorder="1" applyAlignment="1" applyProtection="1"/>
    <xf numFmtId="164" fontId="10" fillId="0" borderId="0" xfId="1" applyNumberFormat="1" applyFont="1" applyAlignment="1" applyProtection="1"/>
    <xf numFmtId="164" fontId="11" fillId="0" borderId="0" xfId="1" applyNumberFormat="1" applyFont="1" applyAlignment="1" applyProtection="1"/>
    <xf numFmtId="164" fontId="6" fillId="0" borderId="0" xfId="1" applyNumberFormat="1" applyFont="1" applyAlignment="1" applyProtection="1"/>
  </cellXfs>
  <cellStyles count="5">
    <cellStyle name="Comma" xfId="1" builtinId="3"/>
    <cellStyle name="Currency" xfId="2" builtinId="4"/>
    <cellStyle name="Currency 2" xfId="4" xr:uid="{3D452191-54AC-4141-84C3-2368379D56AF}"/>
    <cellStyle name="Normal" xfId="0" builtinId="0"/>
    <cellStyle name="Percent" xfId="3" builtinId="5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/>
        <i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5" formatCode="#,##0_);\(#,##0\)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[$$-409]* #,##0.00_ ;_-[$$-409]* \-#,##0.00\ ;_-[$$-409]* &quot;-&quot;??_ ;_-@_ 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[$$-409]* #,##0.00_ ;_-[$$-409]* \-#,##0.00\ ;_-[$$-409]* &quot;-&quot;??_ ;_-@_ 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[$$-409]* #,##0.00_ ;_-[$$-409]* \-#,##0.00\ ;_-[$$-409]* &quot;-&quot;??_ ;_-@_ 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(* #,##0_);_(* \(#,##0\);_(* &quot;-&quot;??_);_(@_)"/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GA%20Budget%20FY%202026-Ahmed.xlsm" TargetMode="External"/><Relationship Id="rId2" Type="http://schemas.openxmlformats.org/officeDocument/2006/relationships/externalLinkPath" Target="https://mgapparel-my.sharepoint.com/personal/hamza_zahid_mgapparel_com/Documents/Desktop/Budget%20Mails/MGA%20Budget%20FY%202026-Ahmed.xlsm" TargetMode="External"/><Relationship Id="rId1" Type="http://schemas.openxmlformats.org/officeDocument/2006/relationships/externalLinkPath" Target="/personal/hamza_zahid_mgapparel_com/Documents/Desktop/Budget%20Mails/MGA%20Budget%20FY%202026-Ahm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0-Index sheet"/>
      <sheetName val="001-Forecast"/>
      <sheetName val="003-Info"/>
      <sheetName val="002-Holidays"/>
      <sheetName val="004-Instructions"/>
      <sheetName val="005-List"/>
      <sheetName val="006-Lists"/>
      <sheetName val="007-Merge"/>
      <sheetName val="008-M3Upload"/>
      <sheetName val="009-Version"/>
      <sheetName val="01.01-Index"/>
      <sheetName val="01.02-Cover"/>
      <sheetName val="01.03-Currency Analysis"/>
      <sheetName val="01.04-Data for Analysis"/>
      <sheetName val="01.05-Summary"/>
      <sheetName val="Saudi Working"/>
      <sheetName val="01.06-OH Summary USD"/>
      <sheetName val="01.08-Sale Report G"/>
      <sheetName val="Whare Shall we"/>
      <sheetName val="01.09-Sensitivity Analysis"/>
      <sheetName val="01.10-Highlights"/>
      <sheetName val="01.11-KeyStats"/>
      <sheetName val="01.11-Costing Sheet"/>
      <sheetName val="CW OH"/>
      <sheetName val="01.12-KPIs"/>
      <sheetName val="Signing Off"/>
      <sheetName val="01.12-Graph."/>
      <sheetName val="01.12-Graph Data"/>
      <sheetName val="01.12-KPIs Comprasion"/>
      <sheetName val="Sheet1"/>
      <sheetName val="01.13-Entitlements"/>
      <sheetName val="01.14-P&amp;LUSD"/>
      <sheetName val="15-SGA OH-SUMMARY"/>
      <sheetName val="13-FOH-SUMMARY"/>
      <sheetName val="01.15-BSUSD"/>
      <sheetName val="01.16-CashFlowUSD"/>
      <sheetName val="01.17-Working Capital"/>
      <sheetName val="11-Sales"/>
      <sheetName val="11-Sales Waste"/>
      <sheetName val="11-Sales B"/>
      <sheetName val="11-Sales A"/>
      <sheetName val="12-CapacityPlan"/>
      <sheetName val="01.12-KPIs Dept OH"/>
      <sheetName val="12-CapacityPlan Washing"/>
      <sheetName val="12-CapacityPlan S"/>
      <sheetName val="14-Factory OH"/>
      <sheetName val="16-SGA OH"/>
      <sheetName val="17-Finance OH"/>
      <sheetName val="18-Interest"/>
      <sheetName val="18-Interest Loans"/>
      <sheetName val="19-MP Cadre HR"/>
      <sheetName val="19-MP Cadre Head Cnt"/>
      <sheetName val="20-MP Cost"/>
      <sheetName val="19-MP Cadre A LOV"/>
      <sheetName val="21-MP Overtime"/>
      <sheetName val="20-MP Cost B"/>
      <sheetName val="19-EOBI &amp; PESSI"/>
      <sheetName val="19-MP Incentive A"/>
      <sheetName val="22-Utilities"/>
      <sheetName val="22-Utilities A"/>
      <sheetName val="22-Utilities B"/>
      <sheetName val="22-Utilities C"/>
      <sheetName val="22-Utilities A (2)"/>
      <sheetName val="23-Vehicle"/>
      <sheetName val="23.1-Vehicle"/>
      <sheetName val="24-CommsExp"/>
      <sheetName val="25-ForeignTravel"/>
      <sheetName val="26-Training"/>
      <sheetName val="27A-Insurance"/>
      <sheetName val="27B-Insurance"/>
      <sheetName val="28-CAPEX"/>
      <sheetName val="29-Depreciation"/>
      <sheetName val="30-Entertainment"/>
      <sheetName val="31-Janitorial"/>
      <sheetName val="32-MedicalIns"/>
      <sheetName val="33-R&amp;M"/>
      <sheetName val="34-Compliance"/>
      <sheetName val="35-Product Development"/>
      <sheetName val="36-Workers Uniform "/>
      <sheetName val="36-Workers Uniform  B"/>
      <sheetName val="37-Consumables"/>
      <sheetName val="37.1-Consumables D"/>
      <sheetName val="38-Donations&amp;Welfare"/>
      <sheetName val="39-Fee &amp; Subscription"/>
      <sheetName val="40-Local Travelling"/>
      <sheetName val="41-Accomodation"/>
      <sheetName val="42-Sustainability &amp; CSR"/>
      <sheetName val="43-Consultancy Charges"/>
      <sheetName val="HR-Budget"/>
      <sheetName val="Notes"/>
      <sheetName val="MGA Budget FY 2026-Ahmed"/>
    </sheetNames>
    <sheetDataSet>
      <sheetData sheetId="0"/>
      <sheetData sheetId="1"/>
      <sheetData sheetId="2">
        <row r="1">
          <cell r="S1" t="str">
            <v>COMPANY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0">
          <cell r="G20">
            <v>14938992.000000002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63">
          <cell r="B263">
            <v>13239033.6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067F8D-3383-45D5-83FE-8AAFE355BEE5}" name="Table4" displayName="Table4" ref="A1:BE34" totalsRowShown="0" headerRowDxfId="61" dataDxfId="59" headerRowBorderDxfId="60" tableBorderDxfId="58" headerRowCellStyle="Comma" dataCellStyle="Comma">
  <autoFilter ref="A1:BE34" xr:uid="{44FF18BD-995F-4E1D-B049-86AD20A92584}"/>
  <tableColumns count="57">
    <tableColumn id="1" xr3:uid="{0DBA37C3-84A7-480E-8246-0F344BE2BAF8}" name="Team" dataDxfId="4">
      <calculatedColumnFormula>'Month Wise Sales Qty'!A2</calculatedColumnFormula>
    </tableColumn>
    <tableColumn id="2" xr3:uid="{89F891CB-7799-4375-8ACD-8E75BAD2A367}" name="Wash Type" dataDxfId="2">
      <calculatedColumnFormula>'Month Wise Sales Qty'!B2</calculatedColumnFormula>
    </tableColumn>
    <tableColumn id="46" xr3:uid="{18EDE777-6AFE-4004-B83F-79B7B12E22DF}" name="Payment Term" dataDxfId="57"/>
    <tableColumn id="3" xr3:uid="{C686B833-4762-4456-9A88-4C526E9DEF17}" name="Customer" dataDxfId="1">
      <calculatedColumnFormula>'Month Wise Sales Qty'!C2</calculatedColumnFormula>
    </tableColumn>
    <tableColumn id="4" xr3:uid="{5DA7E080-5E56-49A9-BA5A-CFF99EDE6891}" name="Qty" dataDxfId="0" dataCellStyle="Comma">
      <calculatedColumnFormula>SUMIFS('Month Wise Sales Qty'!P:P,'Month Wise Sales Qty'!C:C,Table4[[#This Row],[Customer]],'Month Wise Sales Qty'!B:B,Table4[[#This Row],[Wash Type]],'Month Wise Sales Qty'!A:A,Table4[[#This Row],[Team]])</calculatedColumnFormula>
    </tableColumn>
    <tableColumn id="5" xr3:uid="{DD272816-E3C7-4DC7-B7A7-692F05A0D155}" name="Fabric Cons" dataDxfId="56" dataCellStyle="Comma"/>
    <tableColumn id="6" xr3:uid="{3875D0A0-9A9C-42A6-9E0E-ABEC78337825}" name="Fab Price" dataDxfId="55" dataCellStyle="Comma"/>
    <tableColumn id="7" xr3:uid="{8649A3ED-76A0-4CB1-BB13-9E841FB4FEFC}" name="Fabric" dataDxfId="54" dataCellStyle="Comma">
      <calculatedColumnFormula>Table4[[#This Row],[Fabric Cons]]*Table4[[#This Row],[Fab Price]]</calculatedColumnFormula>
    </tableColumn>
    <tableColumn id="8" xr3:uid="{AB9A2EC5-011C-4469-BF12-C301FB41C71D}" name="Pocket Cons" dataDxfId="53" dataCellStyle="Comma"/>
    <tableColumn id="52" xr3:uid="{9B251873-3E83-4548-89E5-5A9F430CC8E3}" name="Pocketing Price" dataDxfId="52" dataCellStyle="Comma"/>
    <tableColumn id="9" xr3:uid="{299B0C03-45CF-4F61-A528-656FF30F4878}" name="Pocketing" dataDxfId="51" dataCellStyle="Comma">
      <calculatedColumnFormula>Table4[[#This Row],[Pocket Cons]]*Table4[[#This Row],[Pocketing Price]]</calculatedColumnFormula>
    </tableColumn>
    <tableColumn id="10" xr3:uid="{DDE500BC-8A23-45D1-9BDF-018894AF4199}" name="Trim" dataDxfId="50" dataCellStyle="Comma"/>
    <tableColumn id="54" xr3:uid="{4476F235-8800-4871-A5A4-2D45CE5D5829}" name="Testing" dataDxfId="49" dataCellStyle="Comma"/>
    <tableColumn id="53" xr3:uid="{ACEBC7DA-5B8A-4E4D-9CC7-00AB3722DFCA}" name="Sampling" dataDxfId="48" dataCellStyle="Comma"/>
    <tableColumn id="11" xr3:uid="{E82DB386-7F7F-4E5C-9701-66A7908B9F02}" name="Chemical" dataDxfId="47" dataCellStyle="Comma"/>
    <tableColumn id="12" xr3:uid="{6A5F250B-1FD0-4ED6-9609-D65B16E33DE6}" name="SAM" dataDxfId="46" dataCellStyle="Comma"/>
    <tableColumn id="13" xr3:uid="{6CE000CC-F727-4B2F-A30F-1CB011A9CEA8}" name="Total SAM" dataDxfId="45" dataCellStyle="Comma">
      <calculatedColumnFormula>P2*E2</calculatedColumnFormula>
    </tableColumn>
    <tableColumn id="14" xr3:uid="{A97D2CAC-FDCF-4153-B003-1C793B779F84}" name="Wash OH" dataDxfId="44" dataCellStyle="Comma"/>
    <tableColumn id="15" xr3:uid="{5AC9EFB9-3D4A-44F7-B332-1E99702476B8}" name="OH " dataDxfId="43" dataCellStyle="Comma"/>
    <tableColumn id="16" xr3:uid="{93C484E1-9E97-4A8F-A1F8-928935CC39C3}" name="Freight" dataDxfId="42" dataCellStyle="Comma"/>
    <tableColumn id="17" xr3:uid="{298C66D1-4188-458E-BEC6-1830451B56F2}" name="Waste % " dataDxfId="41" dataCellStyle="Comma"/>
    <tableColumn id="18" xr3:uid="{3B92D9E4-8459-4D70-B110-5D2BAC6648F1}" name="Wastage" dataDxfId="40" dataCellStyle="Comma">
      <calculatedColumnFormula>(H2+K2+L2+O2)*U2%</calculatedColumnFormula>
    </tableColumn>
    <tableColumn id="19" xr3:uid="{A6A9A2FA-067B-47BD-8E74-29EE369A272B}" name="Finance Cost" dataDxfId="39" dataCellStyle="Comma"/>
    <tableColumn id="20" xr3:uid="{27E9D4F2-BC6F-438C-81A6-2CF1E285826D}" name="Commission" dataDxfId="38" dataCellStyle="Comma"/>
    <tableColumn id="21" xr3:uid="{6D760DCA-A9F1-44F3-92F4-0B3FD60096F6}" name="Comm %age" dataDxfId="37" dataCellStyle="Percent">
      <calculatedColumnFormula>IFERROR(X2/AB2,0)</calculatedColumnFormula>
    </tableColumn>
    <tableColumn id="22" xr3:uid="{69C91565-D9C6-4D3A-8CBF-DACFEE1A7D35}" name="Profit" dataDxfId="36" dataCellStyle="Currency">
      <calculatedColumnFormula>Table4[[#This Row],[Target FOB]]-Table4[[#This Row],[Cost Price]]</calculatedColumnFormula>
    </tableColumn>
    <tableColumn id="47" xr3:uid="{BEF7E1FB-CFBE-4E48-8199-0115F29FF14C}" name="Vol %" dataDxfId="35" dataCellStyle="Currency">
      <calculatedColumnFormula>IFERROR(Table4[[#This Row],[Total SAM]]/$Q$36,0)</calculatedColumnFormula>
    </tableColumn>
    <tableColumn id="23" xr3:uid="{A0915640-929C-4600-B929-72F20170B273}" name="Cost Price" dataDxfId="34" dataCellStyle="Currency">
      <calculatedColumnFormula>SUM(V2:X2,R2:T2,K2:O2,H2)</calculatedColumnFormula>
    </tableColumn>
    <tableColumn id="24" xr3:uid="{54312842-4B62-4E48-898D-C732BA6BA2B5}" name="Check" dataDxfId="33" dataCellStyle="Currency">
      <calculatedColumnFormula>AF2-AB2</calculatedColumnFormula>
    </tableColumn>
    <tableColumn id="50" xr3:uid="{55EA524F-3198-4689-8344-E0E43A37D2E8}" name="Provided FOB" dataDxfId="32" dataCellStyle="Currency"/>
    <tableColumn id="49" xr3:uid="{AF24A738-3781-4B9F-A6B0-79F18B130372}" name="Addition" dataDxfId="31" dataCellStyle="Currency"/>
    <tableColumn id="25" xr3:uid="{6190C186-959D-4F93-96F8-3B61EBA5834A}" name="Target FOB" dataDxfId="30" dataCellStyle="Currency">
      <calculatedColumnFormula>Table4[[#This Row],[Provided FOB]]+Table4[[#This Row],[Addition]]</calculatedColumnFormula>
    </tableColumn>
    <tableColumn id="26" xr3:uid="{68A90D47-FA34-4B38-A665-DF25EE7484A2}" name="CM" dataDxfId="29" dataCellStyle="Currency">
      <calculatedColumnFormula>Z2+S2</calculatedColumnFormula>
    </tableColumn>
    <tableColumn id="27" xr3:uid="{98B14539-2CEB-44F7-B074-89942DD623FD}" name="Per Min CM " dataDxfId="28" dataCellStyle="Comma">
      <calculatedColumnFormula>IFERROR(AJ2*AN2/Q2,0)</calculatedColumnFormula>
    </tableColumn>
    <tableColumn id="48" xr3:uid="{2262DAB7-5966-4F89-9828-BAB6F0973C3D}" name="Per Min CM USD" dataDxfId="27" dataCellStyle="Comma">
      <calculatedColumnFormula>IFERROR(Table4[[#This Row],[Per Min CM ]]/Table4[[#This Row],[Parity Rate]],0)*100</calculatedColumnFormula>
    </tableColumn>
    <tableColumn id="28" xr3:uid="{F91F3730-429D-49D3-BA7A-3FB14D76B199}" name="Value (CM) USD" dataDxfId="26" dataCellStyle="Currency 2">
      <calculatedColumnFormula>AG2*E2</calculatedColumnFormula>
    </tableColumn>
    <tableColumn id="29" xr3:uid="{27FC991E-DCA3-46D0-9E8C-0B0EAD59E427}" name="Value (CM) PKR" dataDxfId="25" dataCellStyle="Comma">
      <calculatedColumnFormula>AJ2*AN2</calculatedColumnFormula>
    </tableColumn>
    <tableColumn id="30" xr3:uid="{C326AF2C-ABFD-46F9-A6F1-81F695944F54}" name="CM/ Minute" dataDxfId="24" dataCellStyle="Comma">
      <calculatedColumnFormula>IFERROR(AK2/Q2,0)</calculatedColumnFormula>
    </tableColumn>
    <tableColumn id="31" xr3:uid="{9F1B203A-3BEA-48B4-B560-3001D49AB658}" name="FOB Value" dataDxfId="23" dataCellStyle="Comma">
      <calculatedColumnFormula>AF2*E2</calculatedColumnFormula>
    </tableColumn>
    <tableColumn id="32" xr3:uid="{77E5FDD8-AB51-4A6B-B567-852E84623659}" name="Parity Rate" dataDxfId="22" dataCellStyle="Comma"/>
    <tableColumn id="33" xr3:uid="{93686BE8-9D2A-430D-B68D-A544D9F54C42}" name="Total Profit" dataDxfId="21" dataCellStyle="Comma"/>
    <tableColumn id="34" xr3:uid="{987EE90C-7B05-4623-9829-E0EA3785FDA9}" name="Total Fabric Cost" dataDxfId="20" dataCellStyle="Comma">
      <calculatedColumnFormula>$E2*H2*(1+$U2%)</calculatedColumnFormula>
    </tableColumn>
    <tableColumn id="35" xr3:uid="{A6849E7F-9288-4266-A65A-50E920A33B1E}" name="Total Pocketing" dataDxfId="19" dataCellStyle="Comma">
      <calculatedColumnFormula>$E2*K2*(1+$U2%)</calculatedColumnFormula>
    </tableColumn>
    <tableColumn id="36" xr3:uid="{340DF928-04CC-4026-8BD7-524E036CA195}" name="Total Trim" dataDxfId="18" dataCellStyle="Comma">
      <calculatedColumnFormula>$E2*L2*(1+$U2%)</calculatedColumnFormula>
    </tableColumn>
    <tableColumn id="55" xr3:uid="{37353C60-86CE-4B0C-85F9-36D387D8FB65}" name="Total Testing" dataDxfId="17" dataCellStyle="Comma">
      <calculatedColumnFormula>$E2*M2</calculatedColumnFormula>
    </tableColumn>
    <tableColumn id="51" xr3:uid="{226C9D61-DFAE-4086-BC1C-CA9197540999}" name="Total Sampling" dataDxfId="16" dataCellStyle="Comma">
      <calculatedColumnFormula>$E2*N2</calculatedColumnFormula>
    </tableColumn>
    <tableColumn id="37" xr3:uid="{0B3D3F26-237A-4553-B7F1-78B6AF697AA4}" name="Total Chemical" dataDxfId="15" dataCellStyle="Comma">
      <calculatedColumnFormula>$E2*O2*(1+$U2%)</calculatedColumnFormula>
    </tableColumn>
    <tableColumn id="38" xr3:uid="{5DF034D3-892C-49F6-B809-CFD55570E6EB}" name="Total Wash OH" dataDxfId="14" dataCellStyle="Comma">
      <calculatedColumnFormula>$E2*R2</calculatedColumnFormula>
    </tableColumn>
    <tableColumn id="39" xr3:uid="{6029B37C-2078-408D-9335-1F924075DE3A}" name="Total Freight Cost" dataDxfId="13" dataCellStyle="Comma">
      <calculatedColumnFormula>$E2*T2</calculatedColumnFormula>
    </tableColumn>
    <tableColumn id="40" xr3:uid="{9CF61F2C-E21F-482B-9E95-89DE202F42C9}" name="Total Finance Cost" dataDxfId="12" dataCellStyle="Comma">
      <calculatedColumnFormula>$E2*W2</calculatedColumnFormula>
    </tableColumn>
    <tableColumn id="41" xr3:uid="{A358F1B9-68EC-4CF3-9A63-86D09C9EC345}" name="Total Commission" dataDxfId="11" dataCellStyle="Comma">
      <calculatedColumnFormula>$E2*X2</calculatedColumnFormula>
    </tableColumn>
    <tableColumn id="42" xr3:uid="{A0350A79-9CEF-4BC7-A97B-0FA676C54A5C}" name="Total Variable Cost" dataDxfId="10" dataCellStyle="Comma">
      <calculatedColumnFormula>SUM(AP2:AY2)</calculatedColumnFormula>
    </tableColumn>
    <tableColumn id="43" xr3:uid="{9124A1FA-1594-4461-BDA6-CCD380BB8F17}" name="Total Contribution" dataDxfId="9" dataCellStyle="Comma">
      <calculatedColumnFormula>AM2-AZ2</calculatedColumnFormula>
    </tableColumn>
    <tableColumn id="57" xr3:uid="{4A7899B2-5A9E-4E70-9133-F883F8433495}" name="Overheads" dataDxfId="8" dataCellStyle="Comma">
      <calculatedColumnFormula>Table4[[#This Row],[OH ]]*Table4[[#This Row],[Qty]]</calculatedColumnFormula>
    </tableColumn>
    <tableColumn id="56" xr3:uid="{2B58B275-DC3D-47E6-BAB8-A1040ED72D14}" name="Net Profit" dataDxfId="7" dataCellStyle="Comma">
      <calculatedColumnFormula>Table4[[#This Row],[Total Contribution]]-Table4[[#This Row],[Overheads]]</calculatedColumnFormula>
    </tableColumn>
    <tableColumn id="44" xr3:uid="{25CAE07B-C1E5-4030-9BB7-90AB7F2ABC55}" name="Code" dataDxfId="6">
      <calculatedColumnFormula>B2&amp;D2</calculatedColumnFormula>
    </tableColumn>
    <tableColumn id="45" xr3:uid="{CBA6C1AF-2140-4F3A-93CC-2F75C3CC33C4}" name="Check2" dataDxfId="5" dataCellStyle="Comma">
      <calculatedColumnFormula>AJ2-BA2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FD50-8E02-4527-A503-92FB0B907737}">
  <dimension ref="A1:P35"/>
  <sheetViews>
    <sheetView showGridLines="0" workbookViewId="0">
      <selection activeCell="E39" sqref="E39"/>
    </sheetView>
  </sheetViews>
  <sheetFormatPr defaultRowHeight="13.2" x14ac:dyDescent="0.25"/>
  <cols>
    <col min="1" max="1" width="12.109375" bestFit="1" customWidth="1"/>
    <col min="2" max="2" width="12.33203125" bestFit="1" customWidth="1"/>
    <col min="3" max="3" width="17.6640625" bestFit="1" customWidth="1"/>
    <col min="4" max="13" width="8.5546875" bestFit="1" customWidth="1"/>
    <col min="14" max="15" width="7.5546875" bestFit="1" customWidth="1"/>
    <col min="16" max="16" width="10.44140625" bestFit="1" customWidth="1"/>
  </cols>
  <sheetData>
    <row r="1" spans="1:16" ht="14.4" x14ac:dyDescent="0.3">
      <c r="A1" s="49" t="s">
        <v>89</v>
      </c>
      <c r="B1" s="49" t="s">
        <v>90</v>
      </c>
      <c r="C1" s="50" t="s">
        <v>91</v>
      </c>
      <c r="D1" s="51">
        <v>46204</v>
      </c>
      <c r="E1" s="51">
        <v>46235</v>
      </c>
      <c r="F1" s="51">
        <v>46266</v>
      </c>
      <c r="G1" s="51">
        <v>46296</v>
      </c>
      <c r="H1" s="51">
        <v>46327</v>
      </c>
      <c r="I1" s="51">
        <v>46357</v>
      </c>
      <c r="J1" s="51">
        <v>46388</v>
      </c>
      <c r="K1" s="51">
        <v>46419</v>
      </c>
      <c r="L1" s="51">
        <v>46447</v>
      </c>
      <c r="M1" s="51">
        <v>46478</v>
      </c>
      <c r="N1" s="51">
        <v>46508</v>
      </c>
      <c r="O1" s="51">
        <v>46539</v>
      </c>
      <c r="P1" s="51" t="s">
        <v>92</v>
      </c>
    </row>
    <row r="2" spans="1:16" ht="14.4" x14ac:dyDescent="0.3">
      <c r="A2" s="1" t="s">
        <v>57</v>
      </c>
      <c r="B2" s="13" t="s">
        <v>58</v>
      </c>
      <c r="C2" s="13" t="s">
        <v>59</v>
      </c>
      <c r="D2" s="52">
        <v>92000</v>
      </c>
      <c r="E2" s="52">
        <v>81000</v>
      </c>
      <c r="F2" s="52">
        <v>161000</v>
      </c>
      <c r="G2" s="52">
        <v>120000</v>
      </c>
      <c r="H2" s="52">
        <f>100000+30000</f>
        <v>130000</v>
      </c>
      <c r="I2" s="52">
        <f>130000-30000</f>
        <v>100000</v>
      </c>
      <c r="J2" s="52">
        <v>100000</v>
      </c>
      <c r="K2" s="52">
        <v>100000</v>
      </c>
      <c r="L2" s="52">
        <v>100000</v>
      </c>
      <c r="M2" s="52">
        <v>100276.34782608696</v>
      </c>
      <c r="N2" s="52">
        <f>110000-60000+5000</f>
        <v>55000</v>
      </c>
      <c r="O2" s="52">
        <f>100000-30000</f>
        <v>70000</v>
      </c>
      <c r="P2" s="53">
        <f t="shared" ref="P2:P34" si="0">SUM(D2:O2)</f>
        <v>1209276.3478260869</v>
      </c>
    </row>
    <row r="3" spans="1:16" ht="14.4" x14ac:dyDescent="0.3">
      <c r="A3" s="1" t="s">
        <v>57</v>
      </c>
      <c r="B3" s="13" t="s">
        <v>60</v>
      </c>
      <c r="C3" s="13" t="s">
        <v>61</v>
      </c>
      <c r="D3" s="52">
        <v>42000</v>
      </c>
      <c r="E3" s="52">
        <v>38000</v>
      </c>
      <c r="F3" s="52">
        <v>50000</v>
      </c>
      <c r="G3" s="52">
        <v>50000</v>
      </c>
      <c r="H3" s="52">
        <v>50000</v>
      </c>
      <c r="I3" s="52">
        <v>30000</v>
      </c>
      <c r="J3" s="52">
        <v>40000</v>
      </c>
      <c r="K3" s="52">
        <v>30000</v>
      </c>
      <c r="L3" s="52">
        <v>50000</v>
      </c>
      <c r="M3" s="52">
        <v>35000</v>
      </c>
      <c r="N3" s="52">
        <v>35000</v>
      </c>
      <c r="O3" s="52">
        <v>35000</v>
      </c>
      <c r="P3" s="53">
        <f t="shared" si="0"/>
        <v>485000</v>
      </c>
    </row>
    <row r="4" spans="1:16" ht="14.4" x14ac:dyDescent="0.3">
      <c r="A4" s="48" t="s">
        <v>57</v>
      </c>
      <c r="B4" s="13" t="s">
        <v>58</v>
      </c>
      <c r="C4" s="13" t="s">
        <v>93</v>
      </c>
      <c r="D4" s="52"/>
      <c r="E4" s="52"/>
      <c r="F4" s="52"/>
      <c r="G4" s="52"/>
      <c r="H4" s="52"/>
      <c r="I4" s="52">
        <v>10000</v>
      </c>
      <c r="J4" s="52">
        <v>10000</v>
      </c>
      <c r="K4" s="52"/>
      <c r="L4" s="52"/>
      <c r="M4" s="52">
        <v>5000</v>
      </c>
      <c r="N4" s="52">
        <v>5000</v>
      </c>
      <c r="O4" s="52">
        <v>5000</v>
      </c>
      <c r="P4" s="53">
        <f t="shared" si="0"/>
        <v>35000</v>
      </c>
    </row>
    <row r="5" spans="1:16" ht="14.4" x14ac:dyDescent="0.3">
      <c r="A5" s="1" t="s">
        <v>57</v>
      </c>
      <c r="B5" s="13" t="s">
        <v>60</v>
      </c>
      <c r="C5" s="13" t="s">
        <v>62</v>
      </c>
      <c r="D5" s="52"/>
      <c r="E5" s="52">
        <v>51000</v>
      </c>
      <c r="F5" s="52"/>
      <c r="G5" s="52"/>
      <c r="H5" s="52"/>
      <c r="I5" s="52">
        <v>30000</v>
      </c>
      <c r="J5" s="52"/>
      <c r="K5" s="52"/>
      <c r="L5" s="52"/>
      <c r="M5" s="52">
        <v>20000</v>
      </c>
      <c r="N5" s="52">
        <v>15000</v>
      </c>
      <c r="O5" s="52">
        <v>10000</v>
      </c>
      <c r="P5" s="53">
        <f t="shared" si="0"/>
        <v>126000</v>
      </c>
    </row>
    <row r="6" spans="1:16" ht="14.4" x14ac:dyDescent="0.3">
      <c r="A6" s="1" t="s">
        <v>57</v>
      </c>
      <c r="B6" s="13" t="s">
        <v>58</v>
      </c>
      <c r="C6" s="13" t="s">
        <v>63</v>
      </c>
      <c r="D6" s="52"/>
      <c r="E6" s="52"/>
      <c r="F6" s="52"/>
      <c r="G6" s="52"/>
      <c r="H6" s="52">
        <v>10000</v>
      </c>
      <c r="I6" s="52"/>
      <c r="J6" s="52"/>
      <c r="K6" s="52">
        <v>5000</v>
      </c>
      <c r="L6" s="52"/>
      <c r="M6" s="52">
        <v>7500</v>
      </c>
      <c r="N6" s="52">
        <v>10000</v>
      </c>
      <c r="O6" s="52">
        <v>10000</v>
      </c>
      <c r="P6" s="53">
        <f t="shared" si="0"/>
        <v>42500</v>
      </c>
    </row>
    <row r="7" spans="1:16" ht="14.4" x14ac:dyDescent="0.3">
      <c r="A7" s="1" t="s">
        <v>57</v>
      </c>
      <c r="B7" s="13" t="s">
        <v>58</v>
      </c>
      <c r="C7" s="13" t="s">
        <v>64</v>
      </c>
      <c r="D7" s="52">
        <v>29000</v>
      </c>
      <c r="E7" s="52"/>
      <c r="F7" s="52"/>
      <c r="G7" s="52"/>
      <c r="H7" s="52"/>
      <c r="I7" s="52"/>
      <c r="J7" s="52"/>
      <c r="K7" s="52">
        <v>10000</v>
      </c>
      <c r="L7" s="52"/>
      <c r="M7" s="52"/>
      <c r="N7" s="52"/>
      <c r="O7" s="52">
        <v>20000</v>
      </c>
      <c r="P7" s="53">
        <f t="shared" si="0"/>
        <v>59000</v>
      </c>
    </row>
    <row r="8" spans="1:16" ht="14.4" x14ac:dyDescent="0.3">
      <c r="A8" s="1" t="s">
        <v>65</v>
      </c>
      <c r="B8" s="13" t="s">
        <v>60</v>
      </c>
      <c r="C8" s="13" t="s">
        <v>66</v>
      </c>
      <c r="D8" s="52">
        <v>99000</v>
      </c>
      <c r="E8" s="52">
        <v>50000</v>
      </c>
      <c r="F8" s="52">
        <v>35000</v>
      </c>
      <c r="G8" s="52">
        <v>50000</v>
      </c>
      <c r="H8" s="52">
        <v>90000</v>
      </c>
      <c r="I8" s="52">
        <v>50000</v>
      </c>
      <c r="J8" s="52">
        <v>35000</v>
      </c>
      <c r="K8" s="52">
        <v>30000</v>
      </c>
      <c r="L8" s="52">
        <v>35000</v>
      </c>
      <c r="M8" s="52">
        <v>45000</v>
      </c>
      <c r="N8" s="52">
        <v>45000</v>
      </c>
      <c r="O8" s="52">
        <v>65000</v>
      </c>
      <c r="P8" s="53">
        <f t="shared" si="0"/>
        <v>629000</v>
      </c>
    </row>
    <row r="9" spans="1:16" ht="14.4" x14ac:dyDescent="0.3">
      <c r="A9" s="1" t="s">
        <v>65</v>
      </c>
      <c r="B9" s="13" t="s">
        <v>58</v>
      </c>
      <c r="C9" s="13" t="s">
        <v>67</v>
      </c>
      <c r="D9" s="52">
        <v>0</v>
      </c>
      <c r="E9" s="52">
        <v>0</v>
      </c>
      <c r="F9" s="52">
        <v>35000</v>
      </c>
      <c r="G9" s="52">
        <v>25000</v>
      </c>
      <c r="H9" s="52">
        <v>15000</v>
      </c>
      <c r="I9" s="52">
        <v>50000</v>
      </c>
      <c r="J9" s="52">
        <v>60000</v>
      </c>
      <c r="K9" s="52">
        <v>60000</v>
      </c>
      <c r="L9" s="52">
        <v>20000</v>
      </c>
      <c r="M9" s="52">
        <v>10000</v>
      </c>
      <c r="N9" s="52">
        <v>0</v>
      </c>
      <c r="O9" s="52">
        <v>10000</v>
      </c>
      <c r="P9" s="53">
        <f t="shared" si="0"/>
        <v>285000</v>
      </c>
    </row>
    <row r="10" spans="1:16" ht="14.4" x14ac:dyDescent="0.3">
      <c r="A10" s="1" t="s">
        <v>65</v>
      </c>
      <c r="B10" s="13" t="s">
        <v>58</v>
      </c>
      <c r="C10" s="13" t="s">
        <v>68</v>
      </c>
      <c r="D10" s="52"/>
      <c r="E10" s="52"/>
      <c r="F10" s="52"/>
      <c r="G10" s="52">
        <v>0</v>
      </c>
      <c r="H10" s="52">
        <v>0</v>
      </c>
      <c r="I10" s="52">
        <v>25000</v>
      </c>
      <c r="J10" s="52">
        <v>0</v>
      </c>
      <c r="K10" s="52"/>
      <c r="L10" s="52">
        <v>40000</v>
      </c>
      <c r="M10" s="52">
        <v>15000</v>
      </c>
      <c r="N10" s="52">
        <v>10000</v>
      </c>
      <c r="O10" s="52">
        <v>25000</v>
      </c>
      <c r="P10" s="53">
        <f t="shared" si="0"/>
        <v>115000</v>
      </c>
    </row>
    <row r="11" spans="1:16" ht="14.4" x14ac:dyDescent="0.3">
      <c r="A11" s="1" t="s">
        <v>65</v>
      </c>
      <c r="B11" s="13" t="s">
        <v>60</v>
      </c>
      <c r="C11" s="13" t="s">
        <v>69</v>
      </c>
      <c r="D11" s="52"/>
      <c r="E11" s="52"/>
      <c r="F11" s="52"/>
      <c r="G11" s="52">
        <v>20000</v>
      </c>
      <c r="H11" s="52">
        <v>10000</v>
      </c>
      <c r="I11" s="52"/>
      <c r="J11" s="52"/>
      <c r="K11" s="52">
        <v>15000</v>
      </c>
      <c r="L11" s="52">
        <v>15000</v>
      </c>
      <c r="M11" s="52"/>
      <c r="N11" s="52"/>
      <c r="O11" s="52">
        <v>15000</v>
      </c>
      <c r="P11" s="53">
        <f t="shared" si="0"/>
        <v>75000</v>
      </c>
    </row>
    <row r="12" spans="1:16" ht="14.4" x14ac:dyDescent="0.3">
      <c r="A12" s="1" t="s">
        <v>65</v>
      </c>
      <c r="B12" s="13" t="s">
        <v>58</v>
      </c>
      <c r="C12" s="13" t="s">
        <v>70</v>
      </c>
      <c r="D12" s="52"/>
      <c r="E12" s="52"/>
      <c r="F12" s="52"/>
      <c r="G12" s="52">
        <v>20000</v>
      </c>
      <c r="H12" s="52">
        <v>0</v>
      </c>
      <c r="I12" s="52"/>
      <c r="J12" s="52"/>
      <c r="K12" s="52"/>
      <c r="L12" s="52">
        <v>15000</v>
      </c>
      <c r="M12" s="52">
        <v>15000</v>
      </c>
      <c r="N12" s="52">
        <v>15000</v>
      </c>
      <c r="O12" s="52">
        <v>15000</v>
      </c>
      <c r="P12" s="53">
        <f t="shared" si="0"/>
        <v>80000</v>
      </c>
    </row>
    <row r="13" spans="1:16" ht="14.4" x14ac:dyDescent="0.3">
      <c r="A13" s="1" t="s">
        <v>65</v>
      </c>
      <c r="B13" s="13" t="s">
        <v>60</v>
      </c>
      <c r="C13" s="13" t="s">
        <v>71</v>
      </c>
      <c r="D13" s="52"/>
      <c r="E13" s="52">
        <v>45000</v>
      </c>
      <c r="F13" s="52">
        <v>86000</v>
      </c>
      <c r="G13" s="52">
        <v>25000</v>
      </c>
      <c r="H13" s="52">
        <v>75000</v>
      </c>
      <c r="I13" s="52">
        <v>50000</v>
      </c>
      <c r="J13" s="52">
        <v>20000</v>
      </c>
      <c r="K13" s="52">
        <v>20000</v>
      </c>
      <c r="L13" s="52">
        <v>20000</v>
      </c>
      <c r="M13" s="52">
        <v>40000</v>
      </c>
      <c r="N13" s="52">
        <v>75000</v>
      </c>
      <c r="O13" s="52">
        <v>50000</v>
      </c>
      <c r="P13" s="53">
        <f t="shared" si="0"/>
        <v>506000</v>
      </c>
    </row>
    <row r="14" spans="1:16" ht="14.4" x14ac:dyDescent="0.3">
      <c r="A14" s="1" t="s">
        <v>65</v>
      </c>
      <c r="B14" s="13" t="s">
        <v>60</v>
      </c>
      <c r="C14" s="13" t="s">
        <v>72</v>
      </c>
      <c r="D14" s="52">
        <v>5000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5000</v>
      </c>
      <c r="K14" s="52">
        <v>15000</v>
      </c>
      <c r="L14" s="52">
        <v>20000</v>
      </c>
      <c r="M14" s="52">
        <v>15000</v>
      </c>
      <c r="N14" s="52">
        <v>20000</v>
      </c>
      <c r="O14" s="52">
        <v>15000</v>
      </c>
      <c r="P14" s="53">
        <f t="shared" si="0"/>
        <v>95000</v>
      </c>
    </row>
    <row r="15" spans="1:16" ht="14.4" x14ac:dyDescent="0.3">
      <c r="A15" s="1" t="s">
        <v>65</v>
      </c>
      <c r="B15" s="13" t="s">
        <v>58</v>
      </c>
      <c r="C15" s="13" t="s">
        <v>73</v>
      </c>
      <c r="D15" s="52"/>
      <c r="E15" s="52">
        <v>0</v>
      </c>
      <c r="F15" s="52">
        <v>18000</v>
      </c>
      <c r="G15" s="52">
        <v>18000</v>
      </c>
      <c r="H15" s="52">
        <v>6000</v>
      </c>
      <c r="I15" s="52">
        <v>6000</v>
      </c>
      <c r="J15" s="52">
        <v>9000</v>
      </c>
      <c r="K15" s="52">
        <v>9000</v>
      </c>
      <c r="L15" s="52">
        <v>21000</v>
      </c>
      <c r="M15" s="52">
        <v>12000</v>
      </c>
      <c r="N15" s="52">
        <v>21000</v>
      </c>
      <c r="O15" s="52">
        <v>15000</v>
      </c>
      <c r="P15" s="53">
        <f t="shared" si="0"/>
        <v>135000</v>
      </c>
    </row>
    <row r="16" spans="1:16" ht="14.4" x14ac:dyDescent="0.3">
      <c r="A16" s="1" t="s">
        <v>65</v>
      </c>
      <c r="B16" s="13" t="s">
        <v>60</v>
      </c>
      <c r="C16" s="13" t="s">
        <v>73</v>
      </c>
      <c r="D16" s="52"/>
      <c r="E16" s="52"/>
      <c r="F16" s="52">
        <v>12000</v>
      </c>
      <c r="G16" s="52">
        <v>12000</v>
      </c>
      <c r="H16" s="52">
        <v>4000</v>
      </c>
      <c r="I16" s="52">
        <v>4000</v>
      </c>
      <c r="J16" s="52">
        <v>6000</v>
      </c>
      <c r="K16" s="52">
        <v>6000</v>
      </c>
      <c r="L16" s="52">
        <v>14000</v>
      </c>
      <c r="M16" s="52">
        <v>8000</v>
      </c>
      <c r="N16" s="52">
        <v>14000</v>
      </c>
      <c r="O16" s="52">
        <v>10000</v>
      </c>
      <c r="P16" s="53">
        <f t="shared" si="0"/>
        <v>90000</v>
      </c>
    </row>
    <row r="17" spans="1:16" ht="14.4" x14ac:dyDescent="0.3">
      <c r="A17" s="1" t="s">
        <v>74</v>
      </c>
      <c r="B17" s="13" t="s">
        <v>60</v>
      </c>
      <c r="C17" s="13" t="s">
        <v>75</v>
      </c>
      <c r="D17" s="52">
        <v>11900</v>
      </c>
      <c r="E17" s="52">
        <v>53668</v>
      </c>
      <c r="F17" s="52">
        <v>24016</v>
      </c>
      <c r="G17" s="52">
        <v>35000</v>
      </c>
      <c r="H17" s="52">
        <v>40000</v>
      </c>
      <c r="I17" s="52">
        <v>40000</v>
      </c>
      <c r="J17" s="52">
        <v>15000</v>
      </c>
      <c r="K17" s="52">
        <v>35000</v>
      </c>
      <c r="L17" s="52">
        <v>15000</v>
      </c>
      <c r="M17" s="52">
        <v>35000</v>
      </c>
      <c r="N17" s="52">
        <v>40000</v>
      </c>
      <c r="O17" s="52">
        <v>40000</v>
      </c>
      <c r="P17" s="53">
        <f t="shared" si="0"/>
        <v>384584</v>
      </c>
    </row>
    <row r="18" spans="1:16" ht="14.4" x14ac:dyDescent="0.3">
      <c r="A18" s="1" t="s">
        <v>74</v>
      </c>
      <c r="B18" s="13" t="s">
        <v>58</v>
      </c>
      <c r="C18" s="13" t="s">
        <v>75</v>
      </c>
      <c r="D18" s="52"/>
      <c r="E18" s="52"/>
      <c r="F18" s="52"/>
      <c r="G18" s="52"/>
      <c r="H18" s="52"/>
      <c r="I18" s="52">
        <v>10000</v>
      </c>
      <c r="J18" s="52">
        <v>0</v>
      </c>
      <c r="K18" s="52">
        <v>5000</v>
      </c>
      <c r="L18" s="52">
        <v>10000</v>
      </c>
      <c r="M18" s="52">
        <v>15000</v>
      </c>
      <c r="N18" s="52">
        <v>15000</v>
      </c>
      <c r="O18" s="52">
        <v>15000</v>
      </c>
      <c r="P18" s="53">
        <f t="shared" si="0"/>
        <v>70000</v>
      </c>
    </row>
    <row r="19" spans="1:16" ht="14.4" x14ac:dyDescent="0.3">
      <c r="A19" s="1" t="s">
        <v>74</v>
      </c>
      <c r="B19" s="13" t="s">
        <v>60</v>
      </c>
      <c r="C19" s="13" t="s">
        <v>76</v>
      </c>
      <c r="D19" s="52">
        <v>11900</v>
      </c>
      <c r="E19" s="52">
        <v>53668</v>
      </c>
      <c r="F19" s="52">
        <v>24016</v>
      </c>
      <c r="G19" s="52">
        <v>35000</v>
      </c>
      <c r="H19" s="52">
        <v>40000</v>
      </c>
      <c r="I19" s="52">
        <v>40000</v>
      </c>
      <c r="J19" s="52">
        <v>25000</v>
      </c>
      <c r="K19" s="52">
        <v>25000</v>
      </c>
      <c r="L19" s="52">
        <v>35000</v>
      </c>
      <c r="M19" s="52">
        <v>35000</v>
      </c>
      <c r="N19" s="52">
        <v>40000</v>
      </c>
      <c r="O19" s="52">
        <v>40000</v>
      </c>
      <c r="P19" s="53">
        <f t="shared" si="0"/>
        <v>404584</v>
      </c>
    </row>
    <row r="20" spans="1:16" ht="14.4" x14ac:dyDescent="0.3">
      <c r="A20" s="1" t="s">
        <v>74</v>
      </c>
      <c r="B20" s="13" t="s">
        <v>58</v>
      </c>
      <c r="C20" s="13" t="s">
        <v>77</v>
      </c>
      <c r="D20" s="52">
        <v>14220</v>
      </c>
      <c r="E20" s="52">
        <v>10720</v>
      </c>
      <c r="F20" s="52">
        <v>15000</v>
      </c>
      <c r="G20" s="52">
        <v>15000</v>
      </c>
      <c r="H20" s="52">
        <v>15000</v>
      </c>
      <c r="I20" s="52">
        <v>15000</v>
      </c>
      <c r="J20" s="52">
        <v>15000</v>
      </c>
      <c r="K20" s="52">
        <v>15000</v>
      </c>
      <c r="L20" s="52">
        <v>15000</v>
      </c>
      <c r="M20" s="52">
        <v>10000</v>
      </c>
      <c r="N20" s="52">
        <v>15000</v>
      </c>
      <c r="O20" s="52">
        <v>15000</v>
      </c>
      <c r="P20" s="53">
        <f t="shared" si="0"/>
        <v>169940</v>
      </c>
    </row>
    <row r="21" spans="1:16" ht="14.4" x14ac:dyDescent="0.3">
      <c r="A21" s="1" t="s">
        <v>74</v>
      </c>
      <c r="B21" s="13" t="s">
        <v>60</v>
      </c>
      <c r="C21" s="13" t="s">
        <v>78</v>
      </c>
      <c r="D21" s="52"/>
      <c r="E21" s="52"/>
      <c r="F21" s="52"/>
      <c r="G21" s="52">
        <v>0</v>
      </c>
      <c r="H21" s="52"/>
      <c r="I21" s="52">
        <v>5000</v>
      </c>
      <c r="J21" s="52"/>
      <c r="K21" s="52">
        <v>0</v>
      </c>
      <c r="L21" s="52">
        <v>0</v>
      </c>
      <c r="M21" s="52">
        <v>0</v>
      </c>
      <c r="N21" s="52"/>
      <c r="O21" s="52">
        <v>5000</v>
      </c>
      <c r="P21" s="53">
        <f t="shared" si="0"/>
        <v>10000</v>
      </c>
    </row>
    <row r="22" spans="1:16" ht="14.4" x14ac:dyDescent="0.3">
      <c r="A22" s="1" t="s">
        <v>74</v>
      </c>
      <c r="B22" s="13" t="s">
        <v>58</v>
      </c>
      <c r="C22" s="13" t="s">
        <v>79</v>
      </c>
      <c r="D22" s="52"/>
      <c r="E22" s="52"/>
      <c r="F22" s="52"/>
      <c r="G22" s="52"/>
      <c r="H22" s="52"/>
      <c r="I22" s="52">
        <v>5000</v>
      </c>
      <c r="J22" s="52">
        <v>5000</v>
      </c>
      <c r="K22" s="52">
        <v>5000</v>
      </c>
      <c r="L22" s="52">
        <v>10000</v>
      </c>
      <c r="M22" s="52">
        <v>10000</v>
      </c>
      <c r="N22" s="52">
        <v>10000</v>
      </c>
      <c r="O22" s="52">
        <v>10000</v>
      </c>
      <c r="P22" s="53">
        <f t="shared" si="0"/>
        <v>55000</v>
      </c>
    </row>
    <row r="23" spans="1:16" ht="14.4" x14ac:dyDescent="0.3">
      <c r="A23" s="1" t="s">
        <v>74</v>
      </c>
      <c r="B23" s="13" t="s">
        <v>60</v>
      </c>
      <c r="C23" s="13" t="s">
        <v>79</v>
      </c>
      <c r="D23" s="52"/>
      <c r="E23" s="52"/>
      <c r="F23" s="52"/>
      <c r="G23" s="52"/>
      <c r="H23" s="52"/>
      <c r="I23" s="52">
        <v>5000</v>
      </c>
      <c r="J23" s="52">
        <v>5000</v>
      </c>
      <c r="K23" s="52">
        <v>5000</v>
      </c>
      <c r="L23" s="52">
        <v>10000</v>
      </c>
      <c r="M23" s="52">
        <v>10000</v>
      </c>
      <c r="N23" s="52">
        <v>10000</v>
      </c>
      <c r="O23" s="52">
        <v>10000</v>
      </c>
      <c r="P23" s="53">
        <f t="shared" si="0"/>
        <v>55000</v>
      </c>
    </row>
    <row r="24" spans="1:16" ht="14.4" x14ac:dyDescent="0.3">
      <c r="A24" s="1" t="s">
        <v>74</v>
      </c>
      <c r="B24" s="13" t="s">
        <v>60</v>
      </c>
      <c r="C24" s="13" t="s">
        <v>80</v>
      </c>
      <c r="D24" s="52"/>
      <c r="E24" s="52"/>
      <c r="F24" s="52"/>
      <c r="G24" s="52"/>
      <c r="H24" s="52"/>
      <c r="I24" s="52">
        <v>20000</v>
      </c>
      <c r="J24" s="52">
        <v>10000</v>
      </c>
      <c r="K24" s="52">
        <v>10000</v>
      </c>
      <c r="L24" s="52">
        <v>15000</v>
      </c>
      <c r="M24" s="52">
        <v>10000</v>
      </c>
      <c r="N24" s="52">
        <v>20000</v>
      </c>
      <c r="O24" s="52">
        <v>20000</v>
      </c>
      <c r="P24" s="53">
        <f t="shared" si="0"/>
        <v>105000</v>
      </c>
    </row>
    <row r="25" spans="1:16" ht="14.4" x14ac:dyDescent="0.3">
      <c r="A25" s="1" t="s">
        <v>74</v>
      </c>
      <c r="B25" s="13" t="s">
        <v>60</v>
      </c>
      <c r="C25" s="13" t="s">
        <v>81</v>
      </c>
      <c r="D25" s="52"/>
      <c r="E25" s="52"/>
      <c r="F25" s="52"/>
      <c r="G25" s="52"/>
      <c r="H25" s="52"/>
      <c r="I25" s="52">
        <v>20000</v>
      </c>
      <c r="J25" s="52">
        <v>20000</v>
      </c>
      <c r="K25" s="52"/>
      <c r="L25" s="52">
        <v>15000</v>
      </c>
      <c r="M25" s="52">
        <v>10000</v>
      </c>
      <c r="N25" s="52">
        <v>20000</v>
      </c>
      <c r="O25" s="52">
        <v>20000</v>
      </c>
      <c r="P25" s="53">
        <f t="shared" si="0"/>
        <v>105000</v>
      </c>
    </row>
    <row r="26" spans="1:16" ht="14.4" x14ac:dyDescent="0.3">
      <c r="A26" s="1" t="s">
        <v>82</v>
      </c>
      <c r="B26" s="13" t="s">
        <v>60</v>
      </c>
      <c r="C26" s="13" t="s">
        <v>83</v>
      </c>
      <c r="D26" s="52"/>
      <c r="E26" s="52"/>
      <c r="F26" s="52"/>
      <c r="G26" s="52"/>
      <c r="H26" s="52"/>
      <c r="I26" s="52"/>
      <c r="J26" s="52"/>
      <c r="K26" s="52"/>
      <c r="L26" s="52"/>
      <c r="M26" s="52">
        <v>20000</v>
      </c>
      <c r="N26" s="52">
        <v>20000</v>
      </c>
      <c r="O26" s="52">
        <v>20000</v>
      </c>
      <c r="P26" s="53">
        <f t="shared" si="0"/>
        <v>60000</v>
      </c>
    </row>
    <row r="27" spans="1:16" ht="14.4" x14ac:dyDescent="0.3">
      <c r="A27" s="1" t="s">
        <v>82</v>
      </c>
      <c r="B27" s="13" t="s">
        <v>58</v>
      </c>
      <c r="C27" s="13" t="s">
        <v>83</v>
      </c>
      <c r="D27" s="52">
        <v>45000</v>
      </c>
      <c r="E27" s="52">
        <v>19000</v>
      </c>
      <c r="F27" s="52">
        <v>20000</v>
      </c>
      <c r="G27" s="52">
        <v>39000</v>
      </c>
      <c r="H27" s="52">
        <v>39000</v>
      </c>
      <c r="I27" s="52">
        <v>39000</v>
      </c>
      <c r="J27" s="52">
        <v>33000</v>
      </c>
      <c r="K27" s="52">
        <v>27000.000000000007</v>
      </c>
      <c r="L27" s="52">
        <v>21000</v>
      </c>
      <c r="M27" s="52">
        <v>27000.000000000007</v>
      </c>
      <c r="N27" s="52">
        <v>39000</v>
      </c>
      <c r="O27" s="52">
        <v>39000</v>
      </c>
      <c r="P27" s="53">
        <f t="shared" si="0"/>
        <v>387000</v>
      </c>
    </row>
    <row r="28" spans="1:16" ht="14.4" x14ac:dyDescent="0.3">
      <c r="A28" s="1" t="s">
        <v>82</v>
      </c>
      <c r="B28" s="13" t="s">
        <v>58</v>
      </c>
      <c r="C28" s="13" t="s">
        <v>84</v>
      </c>
      <c r="D28" s="52">
        <v>50000</v>
      </c>
      <c r="E28" s="52">
        <v>16000</v>
      </c>
      <c r="F28" s="52">
        <v>50000</v>
      </c>
      <c r="G28" s="52">
        <v>91000</v>
      </c>
      <c r="H28" s="52">
        <v>91000</v>
      </c>
      <c r="I28" s="52">
        <v>91000</v>
      </c>
      <c r="J28" s="52">
        <v>77000</v>
      </c>
      <c r="K28" s="52">
        <v>62999.999999999993</v>
      </c>
      <c r="L28" s="52">
        <v>49000</v>
      </c>
      <c r="M28" s="52">
        <v>62999.999999999993</v>
      </c>
      <c r="N28" s="52">
        <v>91000</v>
      </c>
      <c r="O28" s="52">
        <v>91000</v>
      </c>
      <c r="P28" s="53">
        <f t="shared" si="0"/>
        <v>823000</v>
      </c>
    </row>
    <row r="29" spans="1:16" ht="14.4" x14ac:dyDescent="0.3">
      <c r="A29" s="1" t="s">
        <v>85</v>
      </c>
      <c r="B29" s="13" t="s">
        <v>60</v>
      </c>
      <c r="C29" s="13" t="s">
        <v>86</v>
      </c>
      <c r="D29" s="52">
        <v>22500</v>
      </c>
      <c r="E29" s="52">
        <v>0</v>
      </c>
      <c r="F29" s="52">
        <v>30000</v>
      </c>
      <c r="G29" s="52">
        <v>30000</v>
      </c>
      <c r="H29" s="52">
        <v>12000</v>
      </c>
      <c r="I29" s="52">
        <v>8000</v>
      </c>
      <c r="J29" s="52">
        <v>20000</v>
      </c>
      <c r="K29" s="52">
        <v>20000</v>
      </c>
      <c r="L29" s="52">
        <v>25000</v>
      </c>
      <c r="M29" s="52">
        <v>22000</v>
      </c>
      <c r="N29" s="52">
        <v>12000</v>
      </c>
      <c r="O29" s="52">
        <v>8000</v>
      </c>
      <c r="P29" s="53">
        <f t="shared" si="0"/>
        <v>209500</v>
      </c>
    </row>
    <row r="30" spans="1:16" ht="14.4" x14ac:dyDescent="0.3">
      <c r="A30" s="1" t="s">
        <v>85</v>
      </c>
      <c r="B30" s="13" t="s">
        <v>58</v>
      </c>
      <c r="C30" s="13" t="s">
        <v>86</v>
      </c>
      <c r="D30" s="52">
        <v>242000</v>
      </c>
      <c r="E30" s="52">
        <f>250000-10000</f>
        <v>240000</v>
      </c>
      <c r="F30" s="52">
        <f>50000-10000</f>
        <v>40000</v>
      </c>
      <c r="G30" s="52">
        <f>50000+10000</f>
        <v>60000</v>
      </c>
      <c r="H30" s="52">
        <v>30000</v>
      </c>
      <c r="I30" s="52">
        <f>20000-10000</f>
        <v>10000</v>
      </c>
      <c r="J30" s="52">
        <v>180000</v>
      </c>
      <c r="K30" s="52">
        <v>75000</v>
      </c>
      <c r="L30" s="52">
        <f>100000-100000</f>
        <v>0</v>
      </c>
      <c r="M30" s="52">
        <f>88000-75000+10000+10000</f>
        <v>33000</v>
      </c>
      <c r="N30" s="52">
        <v>0</v>
      </c>
      <c r="O30" s="52">
        <v>0</v>
      </c>
      <c r="P30" s="53">
        <f t="shared" si="0"/>
        <v>910000</v>
      </c>
    </row>
    <row r="31" spans="1:16" ht="14.4" x14ac:dyDescent="0.3">
      <c r="A31" s="1" t="s">
        <v>85</v>
      </c>
      <c r="B31" s="13" t="s">
        <v>60</v>
      </c>
      <c r="C31" s="13" t="s">
        <v>87</v>
      </c>
      <c r="D31" s="52">
        <v>0</v>
      </c>
      <c r="E31" s="52">
        <v>0</v>
      </c>
      <c r="F31" s="52">
        <v>56000</v>
      </c>
      <c r="G31" s="52">
        <v>91000</v>
      </c>
      <c r="H31" s="52">
        <v>42000</v>
      </c>
      <c r="I31" s="52">
        <v>42000</v>
      </c>
      <c r="J31" s="52">
        <v>35000</v>
      </c>
      <c r="K31" s="52">
        <v>35000</v>
      </c>
      <c r="L31" s="52">
        <f>70000-40000</f>
        <v>30000</v>
      </c>
      <c r="M31" s="52">
        <f>67000+3000</f>
        <v>70000</v>
      </c>
      <c r="N31" s="52">
        <v>0</v>
      </c>
      <c r="O31" s="52">
        <v>0</v>
      </c>
      <c r="P31" s="53">
        <f t="shared" si="0"/>
        <v>401000</v>
      </c>
    </row>
    <row r="32" spans="1:16" ht="14.4" x14ac:dyDescent="0.3">
      <c r="A32" s="1" t="s">
        <v>85</v>
      </c>
      <c r="B32" s="13" t="s">
        <v>58</v>
      </c>
      <c r="C32" s="13" t="s">
        <v>87</v>
      </c>
      <c r="D32" s="52"/>
      <c r="E32" s="52"/>
      <c r="F32" s="52">
        <v>24000</v>
      </c>
      <c r="G32" s="52">
        <v>39000</v>
      </c>
      <c r="H32" s="52">
        <v>18000</v>
      </c>
      <c r="I32" s="52">
        <v>18000</v>
      </c>
      <c r="J32" s="52">
        <v>15000</v>
      </c>
      <c r="K32" s="52">
        <v>15000</v>
      </c>
      <c r="L32" s="52">
        <v>30000</v>
      </c>
      <c r="M32" s="52">
        <v>28000</v>
      </c>
      <c r="N32" s="52">
        <v>18000</v>
      </c>
      <c r="O32" s="52">
        <v>18000</v>
      </c>
      <c r="P32" s="53">
        <f t="shared" si="0"/>
        <v>223000</v>
      </c>
    </row>
    <row r="33" spans="1:16" ht="14.4" x14ac:dyDescent="0.3">
      <c r="A33" s="1" t="s">
        <v>85</v>
      </c>
      <c r="B33" s="13" t="s">
        <v>60</v>
      </c>
      <c r="C33" s="13" t="s">
        <v>88</v>
      </c>
      <c r="D33" s="52">
        <v>9000</v>
      </c>
      <c r="E33" s="52">
        <v>9000</v>
      </c>
      <c r="F33" s="52">
        <v>0</v>
      </c>
      <c r="G33" s="52">
        <v>0</v>
      </c>
      <c r="H33" s="52">
        <v>20000</v>
      </c>
      <c r="I33" s="52">
        <v>20000</v>
      </c>
      <c r="J33" s="52">
        <v>20000</v>
      </c>
      <c r="K33" s="52">
        <v>20000</v>
      </c>
      <c r="L33" s="52">
        <v>20000</v>
      </c>
      <c r="M33" s="52">
        <v>20000</v>
      </c>
      <c r="N33" s="52">
        <v>20000</v>
      </c>
      <c r="O33" s="52">
        <v>20000</v>
      </c>
      <c r="P33" s="53">
        <f t="shared" si="0"/>
        <v>178000</v>
      </c>
    </row>
    <row r="34" spans="1:16" ht="14.4" x14ac:dyDescent="0.3">
      <c r="A34" s="1" t="s">
        <v>85</v>
      </c>
      <c r="B34" s="13" t="s">
        <v>58</v>
      </c>
      <c r="C34" s="13" t="s">
        <v>88</v>
      </c>
      <c r="D34" s="52"/>
      <c r="E34" s="52"/>
      <c r="F34" s="52"/>
      <c r="G34" s="52"/>
      <c r="H34" s="52">
        <v>10000</v>
      </c>
      <c r="I34" s="52">
        <v>10000</v>
      </c>
      <c r="J34" s="52">
        <v>10000</v>
      </c>
      <c r="K34" s="52">
        <v>10000</v>
      </c>
      <c r="L34" s="52">
        <v>10000</v>
      </c>
      <c r="M34" s="52">
        <v>10000</v>
      </c>
      <c r="N34" s="52">
        <v>10000</v>
      </c>
      <c r="O34" s="52">
        <v>10000</v>
      </c>
      <c r="P34" s="53">
        <f t="shared" si="0"/>
        <v>80000</v>
      </c>
    </row>
    <row r="35" spans="1:16" ht="14.4" x14ac:dyDescent="0.3">
      <c r="A35" s="1"/>
      <c r="B35" s="1"/>
      <c r="C35" s="1"/>
      <c r="D35" s="54">
        <f>SUM(D2:D34)</f>
        <v>673520</v>
      </c>
      <c r="E35" s="54">
        <f>SUM(E2:E34)</f>
        <v>667056</v>
      </c>
      <c r="F35" s="54">
        <f>SUM(F2:F34)</f>
        <v>680032</v>
      </c>
      <c r="G35" s="55">
        <f>SUM(G2:G34)</f>
        <v>775000</v>
      </c>
      <c r="H35" s="54">
        <f>SUM(H2:H34)</f>
        <v>747000</v>
      </c>
      <c r="I35" s="54">
        <f>SUM(I2:I34)</f>
        <v>753000</v>
      </c>
      <c r="J35" s="54">
        <f>SUM(J2:J34)</f>
        <v>770000</v>
      </c>
      <c r="K35" s="54">
        <f>SUM(K2:K34)</f>
        <v>665000</v>
      </c>
      <c r="L35" s="55">
        <f>SUM(L2:L34)</f>
        <v>660000</v>
      </c>
      <c r="M35" s="55">
        <f>SUM(M2:M34)</f>
        <v>755776.34782608692</v>
      </c>
      <c r="N35" s="55">
        <f>SUM(N2:N34)</f>
        <v>700000</v>
      </c>
      <c r="O35" s="55">
        <f>SUM(O2:O34)</f>
        <v>751000</v>
      </c>
      <c r="P35" s="56">
        <f>SUM(P2:P34)</f>
        <v>8597384.347826086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FA2A-3F3F-4D78-A791-CF3F62EB4D85}">
  <sheetPr codeName="Sheet15">
    <tabColor rgb="FFCCFFCC"/>
    <pageSetUpPr fitToPage="1"/>
  </sheetPr>
  <dimension ref="A1:BI37"/>
  <sheetViews>
    <sheetView showGridLines="0" tabSelected="1" zoomScale="75" zoomScaleNormal="120" workbookViewId="0">
      <selection activeCell="J17" sqref="J17"/>
    </sheetView>
  </sheetViews>
  <sheetFormatPr defaultColWidth="8.77734375" defaultRowHeight="14.4" x14ac:dyDescent="0.3"/>
  <cols>
    <col min="1" max="1" width="11.44140625" style="1" customWidth="1"/>
    <col min="2" max="2" width="16.6640625" style="1" bestFit="1" customWidth="1"/>
    <col min="3" max="3" width="15" style="1" hidden="1" customWidth="1"/>
    <col min="4" max="4" width="19.44140625" style="1" customWidth="1"/>
    <col min="5" max="5" width="12.77734375" style="1" customWidth="1"/>
    <col min="6" max="6" width="13.44140625" style="1" customWidth="1"/>
    <col min="7" max="7" width="15.77734375" style="1" customWidth="1"/>
    <col min="8" max="8" width="13.77734375" style="1" bestFit="1" customWidth="1"/>
    <col min="9" max="9" width="13.44140625" style="1" customWidth="1"/>
    <col min="10" max="10" width="16.6640625" style="1" customWidth="1"/>
    <col min="11" max="11" width="10.44140625" style="1" customWidth="1"/>
    <col min="12" max="12" width="13.77734375" style="1" bestFit="1" customWidth="1"/>
    <col min="13" max="13" width="14" style="1" bestFit="1" customWidth="1"/>
    <col min="14" max="14" width="11.6640625" style="2" customWidth="1"/>
    <col min="15" max="15" width="10.6640625" style="2" customWidth="1"/>
    <col min="16" max="16" width="13.109375" style="1" bestFit="1" customWidth="1"/>
    <col min="17" max="17" width="14" style="3" customWidth="1"/>
    <col min="18" max="18" width="9.109375" style="3" customWidth="1"/>
    <col min="19" max="19" width="9.6640625" style="3" customWidth="1"/>
    <col min="20" max="21" width="8.109375" style="1" customWidth="1"/>
    <col min="22" max="22" width="11.77734375" style="4" customWidth="1"/>
    <col min="23" max="23" width="10.77734375" style="1" customWidth="1"/>
    <col min="24" max="24" width="13.33203125" style="1" customWidth="1"/>
    <col min="25" max="25" width="10.33203125" style="1" customWidth="1"/>
    <col min="26" max="26" width="10.44140625" style="1" customWidth="1"/>
    <col min="27" max="27" width="8" style="1" customWidth="1"/>
    <col min="28" max="28" width="10.109375" style="1" customWidth="1"/>
    <col min="29" max="29" width="11" style="1" customWidth="1"/>
    <col min="30" max="30" width="9.6640625" style="1" customWidth="1"/>
    <col min="31" max="32" width="10" style="1" customWidth="1"/>
    <col min="33" max="33" width="10" style="1" bestFit="1" customWidth="1"/>
    <col min="34" max="34" width="9.109375" style="1" customWidth="1"/>
    <col min="35" max="35" width="10.6640625" style="1" customWidth="1"/>
    <col min="36" max="36" width="16.6640625" style="1" bestFit="1" customWidth="1"/>
    <col min="37" max="37" width="20.77734375" style="1" bestFit="1" customWidth="1"/>
    <col min="38" max="38" width="15.109375" style="1" bestFit="1" customWidth="1"/>
    <col min="39" max="39" width="17.44140625" style="2" customWidth="1"/>
    <col min="40" max="40" width="16.77734375" style="2" customWidth="1"/>
    <col min="41" max="41" width="18.33203125" style="2" bestFit="1" customWidth="1"/>
    <col min="42" max="43" width="16.109375" style="2" customWidth="1"/>
    <col min="44" max="46" width="18.33203125" style="2" customWidth="1"/>
    <col min="47" max="47" width="19" style="2" customWidth="1"/>
    <col min="48" max="48" width="18.6640625" style="2" customWidth="1"/>
    <col min="49" max="49" width="19.44140625" style="2" customWidth="1"/>
    <col min="50" max="50" width="19.109375" style="2" customWidth="1"/>
    <col min="51" max="51" width="25.77734375" style="1" bestFit="1" customWidth="1"/>
    <col min="52" max="53" width="17.77734375" style="1" bestFit="1" customWidth="1"/>
    <col min="54" max="55" width="17.77734375" style="1" customWidth="1"/>
    <col min="56" max="56" width="25.109375" style="1" bestFit="1" customWidth="1"/>
    <col min="57" max="57" width="12.44140625" style="1" bestFit="1" customWidth="1"/>
    <col min="58" max="16384" width="8.77734375" style="1"/>
  </cols>
  <sheetData>
    <row r="1" spans="1:61" s="11" customFormat="1" ht="40.950000000000003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9" t="s">
        <v>55</v>
      </c>
      <c r="BE1" s="10" t="s">
        <v>56</v>
      </c>
    </row>
    <row r="2" spans="1:61" x14ac:dyDescent="0.3">
      <c r="A2" s="12" t="str">
        <f>'Month Wise Sales Qty'!A2</f>
        <v>NAQEEB</v>
      </c>
      <c r="B2" s="13" t="str">
        <f>'Month Wise Sales Qty'!B2</f>
        <v>NON DENIM</v>
      </c>
      <c r="C2" s="13"/>
      <c r="D2" s="13" t="str">
        <f>'Month Wise Sales Qty'!C2</f>
        <v>JACK &amp; JONES</v>
      </c>
      <c r="E2" s="14">
        <f>SUMIFS('Month Wise Sales Qty'!P:P,'Month Wise Sales Qty'!C:C,Table4[[#This Row],[Customer]],'Month Wise Sales Qty'!B:B,Table4[[#This Row],[Wash Type]],'Month Wise Sales Qty'!A:A,Table4[[#This Row],[Team]])</f>
        <v>1209276.3478260869</v>
      </c>
      <c r="F2" s="15"/>
      <c r="G2" s="15"/>
      <c r="H2" s="15">
        <f>Table4[[#This Row],[Fabric Cons]]*Table4[[#This Row],[Fab Price]]</f>
        <v>0</v>
      </c>
      <c r="I2" s="15"/>
      <c r="J2" s="15"/>
      <c r="K2" s="15">
        <f>Table4[[#This Row],[Pocket Cons]]*Table4[[#This Row],[Pocketing Price]]</f>
        <v>0</v>
      </c>
      <c r="L2" s="15"/>
      <c r="M2" s="15"/>
      <c r="N2" s="15"/>
      <c r="O2" s="15"/>
      <c r="P2" s="15"/>
      <c r="Q2" s="14">
        <f>P2*E2</f>
        <v>0</v>
      </c>
      <c r="R2" s="15"/>
      <c r="S2" s="15"/>
      <c r="T2" s="15"/>
      <c r="U2" s="15"/>
      <c r="V2" s="15">
        <f t="shared" ref="V2:V34" si="0">(H2+K2+L2+O2)*U2%</f>
        <v>0</v>
      </c>
      <c r="W2" s="15"/>
      <c r="X2" s="15"/>
      <c r="Y2" s="16">
        <f t="shared" ref="Y2:Y34" si="1">IFERROR(X2/AB2,0)</f>
        <v>0</v>
      </c>
      <c r="Z2" s="17">
        <f>Table4[[#This Row],[Target FOB]]-Table4[[#This Row],[Cost Price]]</f>
        <v>0</v>
      </c>
      <c r="AA2" s="17">
        <f>IFERROR(Table4[[#This Row],[Total SAM]]/$Q$36,0)</f>
        <v>0</v>
      </c>
      <c r="AB2" s="17">
        <f t="shared" ref="AB2:AB34" si="2">SUM(V2:X2,R2:T2,K2:O2,H2)</f>
        <v>0</v>
      </c>
      <c r="AC2" s="17">
        <f>AF2-AB2</f>
        <v>0</v>
      </c>
      <c r="AD2" s="17"/>
      <c r="AE2" s="17">
        <v>0</v>
      </c>
      <c r="AF2" s="18">
        <f>Table4[[#This Row],[Provided FOB]]+Table4[[#This Row],[Addition]]</f>
        <v>0</v>
      </c>
      <c r="AG2" s="17">
        <f t="shared" ref="AG2:AG34" si="3">Z2+S2</f>
        <v>0</v>
      </c>
      <c r="AH2" s="19">
        <f t="shared" ref="AH2:AH34" si="4">IFERROR(AJ2*AN2/Q2,0)</f>
        <v>0</v>
      </c>
      <c r="AI2" s="19">
        <f>IFERROR(Table4[[#This Row],[Per Min CM ]]/Table4[[#This Row],[Parity Rate]],0)*100</f>
        <v>0</v>
      </c>
      <c r="AJ2" s="20">
        <f t="shared" ref="AJ2:AJ34" si="5">AG2*E2</f>
        <v>0</v>
      </c>
      <c r="AK2" s="14">
        <f t="shared" ref="AK2:AK34" si="6">AJ2*AN2</f>
        <v>0</v>
      </c>
      <c r="AL2" s="15">
        <f t="shared" ref="AL2:AL34" si="7">IFERROR(AK2/Q2,0)</f>
        <v>0</v>
      </c>
      <c r="AM2" s="21">
        <f t="shared" ref="AM2:AM34" si="8">AF2*E2</f>
        <v>0</v>
      </c>
      <c r="AN2" s="15"/>
      <c r="AO2" s="21">
        <f t="shared" ref="AO2:AO30" si="9">Z2*E2</f>
        <v>0</v>
      </c>
      <c r="AP2" s="22">
        <f t="shared" ref="AP2:AP34" si="10">$E2*H2*(1+$U2%)</f>
        <v>0</v>
      </c>
      <c r="AQ2" s="22">
        <f t="shared" ref="AQ2:AR34" si="11">$E2*K2*(1+$U2%)</f>
        <v>0</v>
      </c>
      <c r="AR2" s="22">
        <f t="shared" si="11"/>
        <v>0</v>
      </c>
      <c r="AS2" s="22">
        <f t="shared" ref="AS2:AT34" si="12">$E2*M2</f>
        <v>0</v>
      </c>
      <c r="AT2" s="22">
        <f t="shared" si="12"/>
        <v>0</v>
      </c>
      <c r="AU2" s="22">
        <f t="shared" ref="AU2:AU34" si="13">$E2*O2*(1+$U2%)</f>
        <v>0</v>
      </c>
      <c r="AV2" s="22">
        <f t="shared" ref="AV2:AV34" si="14">$E2*R2</f>
        <v>0</v>
      </c>
      <c r="AW2" s="22">
        <f t="shared" ref="AW2:AW34" si="15">$E2*T2</f>
        <v>0</v>
      </c>
      <c r="AX2" s="22">
        <f t="shared" ref="AX2:AY21" si="16">$E2*W2</f>
        <v>0</v>
      </c>
      <c r="AY2" s="22">
        <f t="shared" si="16"/>
        <v>0</v>
      </c>
      <c r="AZ2" s="22">
        <f>SUM(AP2:AY2)</f>
        <v>0</v>
      </c>
      <c r="BA2" s="22">
        <f>AM2-AZ2</f>
        <v>0</v>
      </c>
      <c r="BB2" s="22">
        <f>Table4[[#This Row],[OH ]]*Table4[[#This Row],[Qty]]</f>
        <v>0</v>
      </c>
      <c r="BC2" s="22">
        <f>Table4[[#This Row],[Total Contribution]]-Table4[[#This Row],[Overheads]]</f>
        <v>0</v>
      </c>
      <c r="BD2" s="23" t="str">
        <f t="shared" ref="BD2:BD34" si="17">B2&amp;D2</f>
        <v>NON DENIMJACK &amp; JONES</v>
      </c>
      <c r="BE2" s="24">
        <f>AJ2-BA2</f>
        <v>0</v>
      </c>
      <c r="BG2" s="5"/>
      <c r="BH2" s="24"/>
      <c r="BI2" s="24"/>
    </row>
    <row r="3" spans="1:61" x14ac:dyDescent="0.3">
      <c r="A3" s="12" t="str">
        <f>'Month Wise Sales Qty'!A3</f>
        <v>NAQEEB</v>
      </c>
      <c r="B3" s="13" t="str">
        <f>'Month Wise Sales Qty'!B3</f>
        <v>DENIM</v>
      </c>
      <c r="C3" s="13"/>
      <c r="D3" s="13" t="str">
        <f>'Month Wise Sales Qty'!C3</f>
        <v>NAME IT</v>
      </c>
      <c r="E3" s="14">
        <f>SUMIFS('Month Wise Sales Qty'!P:P,'Month Wise Sales Qty'!C:C,Table4[[#This Row],[Customer]],'Month Wise Sales Qty'!B:B,Table4[[#This Row],[Wash Type]],'Month Wise Sales Qty'!A:A,Table4[[#This Row],[Team]])</f>
        <v>485000</v>
      </c>
      <c r="F3" s="15"/>
      <c r="G3" s="15"/>
      <c r="H3" s="15">
        <f>Table4[[#This Row],[Fabric Cons]]*Table4[[#This Row],[Fab Price]]</f>
        <v>0</v>
      </c>
      <c r="I3" s="15"/>
      <c r="J3" s="15"/>
      <c r="K3" s="15">
        <f>Table4[[#This Row],[Pocket Cons]]*Table4[[#This Row],[Pocketing Price]]</f>
        <v>0</v>
      </c>
      <c r="L3" s="15"/>
      <c r="M3" s="15"/>
      <c r="N3" s="15"/>
      <c r="O3" s="15"/>
      <c r="P3" s="15"/>
      <c r="Q3" s="14">
        <f t="shared" ref="Q3:Q34" si="18">P3*E3</f>
        <v>0</v>
      </c>
      <c r="R3" s="15"/>
      <c r="S3" s="15"/>
      <c r="T3" s="15"/>
      <c r="U3" s="15"/>
      <c r="V3" s="15">
        <f t="shared" si="0"/>
        <v>0</v>
      </c>
      <c r="W3" s="15"/>
      <c r="X3" s="15"/>
      <c r="Y3" s="16">
        <f t="shared" si="1"/>
        <v>0</v>
      </c>
      <c r="Z3" s="17">
        <f>Table4[[#This Row],[Target FOB]]-Table4[[#This Row],[Cost Price]]</f>
        <v>0</v>
      </c>
      <c r="AA3" s="17">
        <f>IFERROR(Table4[[#This Row],[Total SAM]]/$Q$36,0)</f>
        <v>0</v>
      </c>
      <c r="AB3" s="17">
        <f t="shared" si="2"/>
        <v>0</v>
      </c>
      <c r="AC3" s="17">
        <f t="shared" ref="AC3:AC34" si="19">AF3-AB3</f>
        <v>0</v>
      </c>
      <c r="AD3" s="17"/>
      <c r="AE3" s="17">
        <v>0</v>
      </c>
      <c r="AF3" s="18">
        <f>Table4[[#This Row],[Provided FOB]]+Table4[[#This Row],[Addition]]</f>
        <v>0</v>
      </c>
      <c r="AG3" s="17">
        <f t="shared" si="3"/>
        <v>0</v>
      </c>
      <c r="AH3" s="19">
        <f t="shared" si="4"/>
        <v>0</v>
      </c>
      <c r="AI3" s="19">
        <f>IFERROR(Table4[[#This Row],[Per Min CM ]]/Table4[[#This Row],[Parity Rate]],0)*100</f>
        <v>0</v>
      </c>
      <c r="AJ3" s="20">
        <f t="shared" si="5"/>
        <v>0</v>
      </c>
      <c r="AK3" s="14">
        <f t="shared" si="6"/>
        <v>0</v>
      </c>
      <c r="AL3" s="15">
        <f t="shared" si="7"/>
        <v>0</v>
      </c>
      <c r="AM3" s="21">
        <f t="shared" si="8"/>
        <v>0</v>
      </c>
      <c r="AN3" s="15"/>
      <c r="AO3" s="21">
        <f t="shared" si="9"/>
        <v>0</v>
      </c>
      <c r="AP3" s="22">
        <f t="shared" si="10"/>
        <v>0</v>
      </c>
      <c r="AQ3" s="22">
        <f t="shared" si="11"/>
        <v>0</v>
      </c>
      <c r="AR3" s="22">
        <f t="shared" si="11"/>
        <v>0</v>
      </c>
      <c r="AS3" s="22">
        <f t="shared" si="12"/>
        <v>0</v>
      </c>
      <c r="AT3" s="22">
        <f t="shared" si="12"/>
        <v>0</v>
      </c>
      <c r="AU3" s="22">
        <f t="shared" si="13"/>
        <v>0</v>
      </c>
      <c r="AV3" s="22">
        <f t="shared" si="14"/>
        <v>0</v>
      </c>
      <c r="AW3" s="22">
        <f t="shared" si="15"/>
        <v>0</v>
      </c>
      <c r="AX3" s="22">
        <f t="shared" si="16"/>
        <v>0</v>
      </c>
      <c r="AY3" s="22">
        <f t="shared" si="16"/>
        <v>0</v>
      </c>
      <c r="AZ3" s="22">
        <f t="shared" ref="AZ3:AZ29" si="20">SUM(AP3:AY3)</f>
        <v>0</v>
      </c>
      <c r="BA3" s="22">
        <f t="shared" ref="BA3:BA34" si="21">AM3-AZ3</f>
        <v>0</v>
      </c>
      <c r="BB3" s="22">
        <f>Table4[[#This Row],[OH ]]*Table4[[#This Row],[Qty]]</f>
        <v>0</v>
      </c>
      <c r="BC3" s="22">
        <f>Table4[[#This Row],[Total Contribution]]-Table4[[#This Row],[Overheads]]</f>
        <v>0</v>
      </c>
      <c r="BD3" s="23" t="str">
        <f t="shared" si="17"/>
        <v>DENIMNAME IT</v>
      </c>
      <c r="BE3" s="24">
        <f t="shared" ref="BE3:BE20" si="22">AJ3-BA3</f>
        <v>0</v>
      </c>
      <c r="BG3" s="5"/>
      <c r="BH3" s="24"/>
      <c r="BI3" s="24"/>
    </row>
    <row r="4" spans="1:61" x14ac:dyDescent="0.3">
      <c r="A4" s="12" t="str">
        <f>'Month Wise Sales Qty'!A4</f>
        <v>NAQEEB</v>
      </c>
      <c r="B4" s="13" t="str">
        <f>'Month Wise Sales Qty'!B4</f>
        <v>NON DENIM</v>
      </c>
      <c r="C4" s="13"/>
      <c r="D4" s="13" t="str">
        <f>'Month Wise Sales Qty'!C4</f>
        <v>Vero Moda</v>
      </c>
      <c r="E4" s="14">
        <f>SUMIFS('Month Wise Sales Qty'!P:P,'Month Wise Sales Qty'!C:C,Table4[[#This Row],[Customer]],'Month Wise Sales Qty'!B:B,Table4[[#This Row],[Wash Type]],'Month Wise Sales Qty'!A:A,Table4[[#This Row],[Team]])</f>
        <v>35000</v>
      </c>
      <c r="F4" s="15"/>
      <c r="G4" s="15"/>
      <c r="H4" s="15">
        <f>Table4[[#This Row],[Fabric Cons]]*Table4[[#This Row],[Fab Price]]</f>
        <v>0</v>
      </c>
      <c r="I4" s="15"/>
      <c r="J4" s="15"/>
      <c r="K4" s="15">
        <f>Table4[[#This Row],[Pocket Cons]]*Table4[[#This Row],[Pocketing Price]]</f>
        <v>0</v>
      </c>
      <c r="L4" s="15"/>
      <c r="M4" s="15"/>
      <c r="N4" s="15"/>
      <c r="O4" s="15"/>
      <c r="P4" s="15"/>
      <c r="Q4" s="14">
        <f t="shared" si="18"/>
        <v>0</v>
      </c>
      <c r="R4" s="15"/>
      <c r="S4" s="15"/>
      <c r="T4" s="15"/>
      <c r="U4" s="15"/>
      <c r="V4" s="15">
        <f t="shared" si="0"/>
        <v>0</v>
      </c>
      <c r="W4" s="15"/>
      <c r="X4" s="15"/>
      <c r="Y4" s="16">
        <f t="shared" si="1"/>
        <v>0</v>
      </c>
      <c r="Z4" s="17">
        <f>Table4[[#This Row],[Target FOB]]-Table4[[#This Row],[Cost Price]]</f>
        <v>0</v>
      </c>
      <c r="AA4" s="17">
        <f>IFERROR(Table4[[#This Row],[Total SAM]]/$Q$36,0)</f>
        <v>0</v>
      </c>
      <c r="AB4" s="17">
        <f t="shared" si="2"/>
        <v>0</v>
      </c>
      <c r="AC4" s="17">
        <f t="shared" si="19"/>
        <v>0</v>
      </c>
      <c r="AD4" s="17"/>
      <c r="AE4" s="17">
        <v>0</v>
      </c>
      <c r="AF4" s="18">
        <f>Table4[[#This Row],[Provided FOB]]+Table4[[#This Row],[Addition]]</f>
        <v>0</v>
      </c>
      <c r="AG4" s="17">
        <f t="shared" si="3"/>
        <v>0</v>
      </c>
      <c r="AH4" s="19">
        <f t="shared" si="4"/>
        <v>0</v>
      </c>
      <c r="AI4" s="19">
        <f>IFERROR(Table4[[#This Row],[Per Min CM ]]/Table4[[#This Row],[Parity Rate]],0)*100</f>
        <v>0</v>
      </c>
      <c r="AJ4" s="20">
        <f t="shared" si="5"/>
        <v>0</v>
      </c>
      <c r="AK4" s="14">
        <f t="shared" si="6"/>
        <v>0</v>
      </c>
      <c r="AL4" s="15">
        <f t="shared" si="7"/>
        <v>0</v>
      </c>
      <c r="AM4" s="21">
        <f t="shared" si="8"/>
        <v>0</v>
      </c>
      <c r="AN4" s="15"/>
      <c r="AO4" s="21">
        <f t="shared" si="9"/>
        <v>0</v>
      </c>
      <c r="AP4" s="22">
        <f t="shared" si="10"/>
        <v>0</v>
      </c>
      <c r="AQ4" s="22">
        <f t="shared" si="11"/>
        <v>0</v>
      </c>
      <c r="AR4" s="22">
        <f t="shared" si="11"/>
        <v>0</v>
      </c>
      <c r="AS4" s="22">
        <f t="shared" si="12"/>
        <v>0</v>
      </c>
      <c r="AT4" s="22">
        <f t="shared" si="12"/>
        <v>0</v>
      </c>
      <c r="AU4" s="22">
        <f t="shared" si="13"/>
        <v>0</v>
      </c>
      <c r="AV4" s="22">
        <f t="shared" si="14"/>
        <v>0</v>
      </c>
      <c r="AW4" s="22">
        <f t="shared" si="15"/>
        <v>0</v>
      </c>
      <c r="AX4" s="22">
        <f t="shared" si="16"/>
        <v>0</v>
      </c>
      <c r="AY4" s="22">
        <f t="shared" si="16"/>
        <v>0</v>
      </c>
      <c r="AZ4" s="22">
        <f t="shared" si="20"/>
        <v>0</v>
      </c>
      <c r="BA4" s="22">
        <f t="shared" si="21"/>
        <v>0</v>
      </c>
      <c r="BB4" s="22">
        <f>Table4[[#This Row],[OH ]]*Table4[[#This Row],[Qty]]</f>
        <v>0</v>
      </c>
      <c r="BC4" s="22">
        <f>Table4[[#This Row],[Total Contribution]]-Table4[[#This Row],[Overheads]]</f>
        <v>0</v>
      </c>
      <c r="BD4" s="23" t="str">
        <f t="shared" si="17"/>
        <v>NON DENIMVero Moda</v>
      </c>
      <c r="BE4" s="24">
        <f t="shared" si="22"/>
        <v>0</v>
      </c>
      <c r="BG4" s="5"/>
      <c r="BH4" s="24"/>
      <c r="BI4" s="24"/>
    </row>
    <row r="5" spans="1:61" x14ac:dyDescent="0.3">
      <c r="A5" s="12" t="str">
        <f>'Month Wise Sales Qty'!A5</f>
        <v>NAQEEB</v>
      </c>
      <c r="B5" s="13" t="str">
        <f>'Month Wise Sales Qty'!B5</f>
        <v>DENIM</v>
      </c>
      <c r="C5" s="13"/>
      <c r="D5" s="13" t="str">
        <f>'Month Wise Sales Qty'!C5</f>
        <v>BLACK DIAMOND</v>
      </c>
      <c r="E5" s="14">
        <f>SUMIFS('Month Wise Sales Qty'!P:P,'Month Wise Sales Qty'!C:C,Table4[[#This Row],[Customer]],'Month Wise Sales Qty'!B:B,Table4[[#This Row],[Wash Type]],'Month Wise Sales Qty'!A:A,Table4[[#This Row],[Team]])</f>
        <v>126000</v>
      </c>
      <c r="F5" s="15"/>
      <c r="G5" s="15"/>
      <c r="H5" s="15">
        <f>Table4[[#This Row],[Fabric Cons]]*Table4[[#This Row],[Fab Price]]</f>
        <v>0</v>
      </c>
      <c r="I5" s="15"/>
      <c r="J5" s="15"/>
      <c r="K5" s="15">
        <f>Table4[[#This Row],[Pocket Cons]]*Table4[[#This Row],[Pocketing Price]]</f>
        <v>0</v>
      </c>
      <c r="L5" s="15"/>
      <c r="M5" s="15"/>
      <c r="N5" s="15"/>
      <c r="O5" s="15"/>
      <c r="P5" s="15"/>
      <c r="Q5" s="14">
        <f t="shared" si="18"/>
        <v>0</v>
      </c>
      <c r="R5" s="15"/>
      <c r="S5" s="15"/>
      <c r="T5" s="15"/>
      <c r="U5" s="15"/>
      <c r="V5" s="15">
        <f t="shared" si="0"/>
        <v>0</v>
      </c>
      <c r="W5" s="15"/>
      <c r="X5" s="15"/>
      <c r="Y5" s="16">
        <f t="shared" si="1"/>
        <v>0</v>
      </c>
      <c r="Z5" s="17">
        <f>Table4[[#This Row],[Target FOB]]-Table4[[#This Row],[Cost Price]]</f>
        <v>0</v>
      </c>
      <c r="AA5" s="17">
        <f>IFERROR(Table4[[#This Row],[Total SAM]]/$Q$36,0)</f>
        <v>0</v>
      </c>
      <c r="AB5" s="17">
        <f t="shared" si="2"/>
        <v>0</v>
      </c>
      <c r="AC5" s="17">
        <f t="shared" si="19"/>
        <v>0</v>
      </c>
      <c r="AD5" s="17"/>
      <c r="AE5" s="17">
        <v>0</v>
      </c>
      <c r="AF5" s="18">
        <f>Table4[[#This Row],[Provided FOB]]+Table4[[#This Row],[Addition]]</f>
        <v>0</v>
      </c>
      <c r="AG5" s="17">
        <f t="shared" si="3"/>
        <v>0</v>
      </c>
      <c r="AH5" s="19">
        <f t="shared" si="4"/>
        <v>0</v>
      </c>
      <c r="AI5" s="19">
        <f>IFERROR(Table4[[#This Row],[Per Min CM ]]/Table4[[#This Row],[Parity Rate]],0)*100</f>
        <v>0</v>
      </c>
      <c r="AJ5" s="20">
        <f t="shared" si="5"/>
        <v>0</v>
      </c>
      <c r="AK5" s="14">
        <f t="shared" si="6"/>
        <v>0</v>
      </c>
      <c r="AL5" s="15">
        <f t="shared" si="7"/>
        <v>0</v>
      </c>
      <c r="AM5" s="21">
        <f t="shared" si="8"/>
        <v>0</v>
      </c>
      <c r="AN5" s="15"/>
      <c r="AO5" s="21">
        <f t="shared" si="9"/>
        <v>0</v>
      </c>
      <c r="AP5" s="22">
        <f t="shared" si="10"/>
        <v>0</v>
      </c>
      <c r="AQ5" s="22">
        <f t="shared" si="11"/>
        <v>0</v>
      </c>
      <c r="AR5" s="22">
        <f t="shared" si="11"/>
        <v>0</v>
      </c>
      <c r="AS5" s="22">
        <f t="shared" si="12"/>
        <v>0</v>
      </c>
      <c r="AT5" s="22">
        <f t="shared" si="12"/>
        <v>0</v>
      </c>
      <c r="AU5" s="22">
        <f t="shared" si="13"/>
        <v>0</v>
      </c>
      <c r="AV5" s="22">
        <f t="shared" si="14"/>
        <v>0</v>
      </c>
      <c r="AW5" s="22">
        <f t="shared" si="15"/>
        <v>0</v>
      </c>
      <c r="AX5" s="22">
        <f t="shared" si="16"/>
        <v>0</v>
      </c>
      <c r="AY5" s="22">
        <f t="shared" si="16"/>
        <v>0</v>
      </c>
      <c r="AZ5" s="22">
        <f t="shared" si="20"/>
        <v>0</v>
      </c>
      <c r="BA5" s="22">
        <f t="shared" si="21"/>
        <v>0</v>
      </c>
      <c r="BB5" s="22">
        <f>Table4[[#This Row],[OH ]]*Table4[[#This Row],[Qty]]</f>
        <v>0</v>
      </c>
      <c r="BC5" s="22">
        <f>Table4[[#This Row],[Total Contribution]]-Table4[[#This Row],[Overheads]]</f>
        <v>0</v>
      </c>
      <c r="BD5" s="23" t="str">
        <f t="shared" si="17"/>
        <v>DENIMBLACK DIAMOND</v>
      </c>
      <c r="BE5" s="24">
        <f t="shared" si="22"/>
        <v>0</v>
      </c>
      <c r="BG5" s="5"/>
      <c r="BH5" s="24"/>
      <c r="BI5" s="24"/>
    </row>
    <row r="6" spans="1:61" x14ac:dyDescent="0.3">
      <c r="A6" s="12" t="str">
        <f>'Month Wise Sales Qty'!A6</f>
        <v>NAQEEB</v>
      </c>
      <c r="B6" s="13" t="str">
        <f>'Month Wise Sales Qty'!B6</f>
        <v>NON DENIM</v>
      </c>
      <c r="C6" s="13"/>
      <c r="D6" s="13" t="str">
        <f>'Month Wise Sales Qty'!C6</f>
        <v>GLORIA JEANS</v>
      </c>
      <c r="E6" s="14">
        <f>SUMIFS('Month Wise Sales Qty'!P:P,'Month Wise Sales Qty'!C:C,Table4[[#This Row],[Customer]],'Month Wise Sales Qty'!B:B,Table4[[#This Row],[Wash Type]],'Month Wise Sales Qty'!A:A,Table4[[#This Row],[Team]])</f>
        <v>42500</v>
      </c>
      <c r="F6" s="15"/>
      <c r="G6" s="15"/>
      <c r="H6" s="15">
        <f>Table4[[#This Row],[Fabric Cons]]*Table4[[#This Row],[Fab Price]]</f>
        <v>0</v>
      </c>
      <c r="I6" s="15"/>
      <c r="J6" s="15"/>
      <c r="K6" s="15">
        <f>Table4[[#This Row],[Pocket Cons]]*Table4[[#This Row],[Pocketing Price]]</f>
        <v>0</v>
      </c>
      <c r="L6" s="15"/>
      <c r="M6" s="15"/>
      <c r="N6" s="15"/>
      <c r="O6" s="15"/>
      <c r="P6" s="15"/>
      <c r="Q6" s="14">
        <f t="shared" si="18"/>
        <v>0</v>
      </c>
      <c r="R6" s="15"/>
      <c r="S6" s="15"/>
      <c r="T6" s="15"/>
      <c r="U6" s="15"/>
      <c r="V6" s="15">
        <f t="shared" si="0"/>
        <v>0</v>
      </c>
      <c r="W6" s="15"/>
      <c r="X6" s="15"/>
      <c r="Y6" s="16">
        <f t="shared" si="1"/>
        <v>0</v>
      </c>
      <c r="Z6" s="17">
        <f>Table4[[#This Row],[Target FOB]]-Table4[[#This Row],[Cost Price]]</f>
        <v>0</v>
      </c>
      <c r="AA6" s="17">
        <f>IFERROR(Table4[[#This Row],[Total SAM]]/$Q$36,0)</f>
        <v>0</v>
      </c>
      <c r="AB6" s="17">
        <f t="shared" si="2"/>
        <v>0</v>
      </c>
      <c r="AC6" s="17">
        <f t="shared" si="19"/>
        <v>0</v>
      </c>
      <c r="AD6" s="17"/>
      <c r="AE6" s="17">
        <v>0</v>
      </c>
      <c r="AF6" s="18">
        <f>Table4[[#This Row],[Provided FOB]]+Table4[[#This Row],[Addition]]</f>
        <v>0</v>
      </c>
      <c r="AG6" s="17">
        <f t="shared" si="3"/>
        <v>0</v>
      </c>
      <c r="AH6" s="19">
        <f t="shared" si="4"/>
        <v>0</v>
      </c>
      <c r="AI6" s="19">
        <f>IFERROR(Table4[[#This Row],[Per Min CM ]]/Table4[[#This Row],[Parity Rate]],0)*100</f>
        <v>0</v>
      </c>
      <c r="AJ6" s="20">
        <f t="shared" si="5"/>
        <v>0</v>
      </c>
      <c r="AK6" s="14">
        <f t="shared" si="6"/>
        <v>0</v>
      </c>
      <c r="AL6" s="15">
        <f t="shared" si="7"/>
        <v>0</v>
      </c>
      <c r="AM6" s="21">
        <f t="shared" si="8"/>
        <v>0</v>
      </c>
      <c r="AN6" s="15"/>
      <c r="AO6" s="21">
        <f t="shared" si="9"/>
        <v>0</v>
      </c>
      <c r="AP6" s="22">
        <f t="shared" si="10"/>
        <v>0</v>
      </c>
      <c r="AQ6" s="22">
        <f t="shared" si="11"/>
        <v>0</v>
      </c>
      <c r="AR6" s="22">
        <f t="shared" si="11"/>
        <v>0</v>
      </c>
      <c r="AS6" s="22">
        <f t="shared" si="12"/>
        <v>0</v>
      </c>
      <c r="AT6" s="22">
        <f t="shared" si="12"/>
        <v>0</v>
      </c>
      <c r="AU6" s="22">
        <f t="shared" si="13"/>
        <v>0</v>
      </c>
      <c r="AV6" s="22">
        <f t="shared" si="14"/>
        <v>0</v>
      </c>
      <c r="AW6" s="22">
        <f t="shared" si="15"/>
        <v>0</v>
      </c>
      <c r="AX6" s="22">
        <f t="shared" si="16"/>
        <v>0</v>
      </c>
      <c r="AY6" s="22">
        <f t="shared" si="16"/>
        <v>0</v>
      </c>
      <c r="AZ6" s="22">
        <f t="shared" si="20"/>
        <v>0</v>
      </c>
      <c r="BA6" s="22">
        <f t="shared" si="21"/>
        <v>0</v>
      </c>
      <c r="BB6" s="22">
        <f>Table4[[#This Row],[OH ]]*Table4[[#This Row],[Qty]]</f>
        <v>0</v>
      </c>
      <c r="BC6" s="22">
        <f>Table4[[#This Row],[Total Contribution]]-Table4[[#This Row],[Overheads]]</f>
        <v>0</v>
      </c>
      <c r="BD6" s="23" t="str">
        <f t="shared" si="17"/>
        <v>NON DENIMGLORIA JEANS</v>
      </c>
      <c r="BE6" s="25">
        <f t="shared" si="22"/>
        <v>0</v>
      </c>
      <c r="BG6" s="5"/>
      <c r="BH6" s="24"/>
      <c r="BI6" s="24"/>
    </row>
    <row r="7" spans="1:61" x14ac:dyDescent="0.3">
      <c r="A7" s="12" t="str">
        <f>'Month Wise Sales Qty'!A7</f>
        <v>NAQEEB</v>
      </c>
      <c r="B7" s="13" t="str">
        <f>'Month Wise Sales Qty'!B7</f>
        <v>NON DENIM</v>
      </c>
      <c r="C7" s="13"/>
      <c r="D7" s="13" t="str">
        <f>'Month Wise Sales Qty'!C7</f>
        <v>NEMESIS</v>
      </c>
      <c r="E7" s="14">
        <f>SUMIFS('Month Wise Sales Qty'!P:P,'Month Wise Sales Qty'!C:C,Table4[[#This Row],[Customer]],'Month Wise Sales Qty'!B:B,Table4[[#This Row],[Wash Type]],'Month Wise Sales Qty'!A:A,Table4[[#This Row],[Team]])</f>
        <v>59000</v>
      </c>
      <c r="F7" s="15"/>
      <c r="G7" s="15"/>
      <c r="H7" s="15">
        <f>Table4[[#This Row],[Fabric Cons]]*Table4[[#This Row],[Fab Price]]</f>
        <v>0</v>
      </c>
      <c r="I7" s="15"/>
      <c r="J7" s="15"/>
      <c r="K7" s="15">
        <f>Table4[[#This Row],[Pocket Cons]]*Table4[[#This Row],[Pocketing Price]]</f>
        <v>0</v>
      </c>
      <c r="L7" s="15"/>
      <c r="M7" s="15"/>
      <c r="N7" s="15"/>
      <c r="O7" s="15"/>
      <c r="P7" s="15"/>
      <c r="Q7" s="14">
        <f t="shared" si="18"/>
        <v>0</v>
      </c>
      <c r="R7" s="15"/>
      <c r="S7" s="15"/>
      <c r="T7" s="15"/>
      <c r="U7" s="15"/>
      <c r="V7" s="15">
        <f t="shared" si="0"/>
        <v>0</v>
      </c>
      <c r="W7" s="15"/>
      <c r="X7" s="15"/>
      <c r="Y7" s="16">
        <f t="shared" si="1"/>
        <v>0</v>
      </c>
      <c r="Z7" s="17">
        <f>Table4[[#This Row],[Target FOB]]-Table4[[#This Row],[Cost Price]]</f>
        <v>0</v>
      </c>
      <c r="AA7" s="17">
        <f>IFERROR(Table4[[#This Row],[Total SAM]]/$Q$36,0)</f>
        <v>0</v>
      </c>
      <c r="AB7" s="17">
        <f t="shared" si="2"/>
        <v>0</v>
      </c>
      <c r="AC7" s="17">
        <f t="shared" si="19"/>
        <v>0</v>
      </c>
      <c r="AD7" s="17"/>
      <c r="AE7" s="17">
        <v>0</v>
      </c>
      <c r="AF7" s="18">
        <f>Table4[[#This Row],[Provided FOB]]+Table4[[#This Row],[Addition]]</f>
        <v>0</v>
      </c>
      <c r="AG7" s="17">
        <f t="shared" si="3"/>
        <v>0</v>
      </c>
      <c r="AH7" s="19">
        <f t="shared" si="4"/>
        <v>0</v>
      </c>
      <c r="AI7" s="19">
        <f>IFERROR(Table4[[#This Row],[Per Min CM ]]/Table4[[#This Row],[Parity Rate]],0)*100</f>
        <v>0</v>
      </c>
      <c r="AJ7" s="20">
        <f t="shared" si="5"/>
        <v>0</v>
      </c>
      <c r="AK7" s="14">
        <f t="shared" si="6"/>
        <v>0</v>
      </c>
      <c r="AL7" s="15">
        <f t="shared" si="7"/>
        <v>0</v>
      </c>
      <c r="AM7" s="21">
        <f t="shared" si="8"/>
        <v>0</v>
      </c>
      <c r="AN7" s="15"/>
      <c r="AO7" s="21">
        <f t="shared" si="9"/>
        <v>0</v>
      </c>
      <c r="AP7" s="22">
        <f t="shared" si="10"/>
        <v>0</v>
      </c>
      <c r="AQ7" s="22">
        <f t="shared" si="11"/>
        <v>0</v>
      </c>
      <c r="AR7" s="22">
        <f t="shared" si="11"/>
        <v>0</v>
      </c>
      <c r="AS7" s="22">
        <f t="shared" si="12"/>
        <v>0</v>
      </c>
      <c r="AT7" s="22">
        <f t="shared" si="12"/>
        <v>0</v>
      </c>
      <c r="AU7" s="22">
        <f t="shared" si="13"/>
        <v>0</v>
      </c>
      <c r="AV7" s="22">
        <f t="shared" si="14"/>
        <v>0</v>
      </c>
      <c r="AW7" s="22">
        <f t="shared" si="15"/>
        <v>0</v>
      </c>
      <c r="AX7" s="22">
        <f t="shared" si="16"/>
        <v>0</v>
      </c>
      <c r="AY7" s="22">
        <f t="shared" si="16"/>
        <v>0</v>
      </c>
      <c r="AZ7" s="22">
        <f t="shared" si="20"/>
        <v>0</v>
      </c>
      <c r="BA7" s="22">
        <f t="shared" si="21"/>
        <v>0</v>
      </c>
      <c r="BB7" s="22">
        <f>Table4[[#This Row],[OH ]]*Table4[[#This Row],[Qty]]</f>
        <v>0</v>
      </c>
      <c r="BC7" s="22">
        <f>Table4[[#This Row],[Total Contribution]]-Table4[[#This Row],[Overheads]]</f>
        <v>0</v>
      </c>
      <c r="BD7" s="23" t="str">
        <f t="shared" si="17"/>
        <v>NON DENIMNEMESIS</v>
      </c>
      <c r="BE7" s="24">
        <f t="shared" si="22"/>
        <v>0</v>
      </c>
      <c r="BG7" s="5"/>
      <c r="BH7" s="24"/>
      <c r="BI7" s="24"/>
    </row>
    <row r="8" spans="1:61" x14ac:dyDescent="0.3">
      <c r="A8" s="12" t="str">
        <f>'Month Wise Sales Qty'!A8</f>
        <v>RIZWAN</v>
      </c>
      <c r="B8" s="13" t="str">
        <f>'Month Wise Sales Qty'!B8</f>
        <v>DENIM</v>
      </c>
      <c r="C8" s="13"/>
      <c r="D8" s="13" t="str">
        <f>'Month Wise Sales Qty'!C8</f>
        <v>HERO/STOOKER</v>
      </c>
      <c r="E8" s="14">
        <f>SUMIFS('Month Wise Sales Qty'!P:P,'Month Wise Sales Qty'!C:C,Table4[[#This Row],[Customer]],'Month Wise Sales Qty'!B:B,Table4[[#This Row],[Wash Type]],'Month Wise Sales Qty'!A:A,Table4[[#This Row],[Team]])</f>
        <v>629000</v>
      </c>
      <c r="F8" s="15"/>
      <c r="G8" s="15"/>
      <c r="H8" s="15">
        <f>Table4[[#This Row],[Fabric Cons]]*Table4[[#This Row],[Fab Price]]</f>
        <v>0</v>
      </c>
      <c r="I8" s="15"/>
      <c r="J8" s="15"/>
      <c r="K8" s="15">
        <f>Table4[[#This Row],[Pocket Cons]]*Table4[[#This Row],[Pocketing Price]]</f>
        <v>0</v>
      </c>
      <c r="L8" s="15"/>
      <c r="M8" s="15"/>
      <c r="N8" s="15"/>
      <c r="O8" s="15"/>
      <c r="P8" s="15"/>
      <c r="Q8" s="14">
        <f t="shared" si="18"/>
        <v>0</v>
      </c>
      <c r="R8" s="15"/>
      <c r="S8" s="15"/>
      <c r="T8" s="15"/>
      <c r="U8" s="15"/>
      <c r="V8" s="15">
        <f t="shared" si="0"/>
        <v>0</v>
      </c>
      <c r="W8" s="15"/>
      <c r="X8" s="15"/>
      <c r="Y8" s="16">
        <f t="shared" si="1"/>
        <v>0</v>
      </c>
      <c r="Z8" s="17">
        <f>Table4[[#This Row],[Target FOB]]-Table4[[#This Row],[Cost Price]]</f>
        <v>0</v>
      </c>
      <c r="AA8" s="17">
        <f>IFERROR(Table4[[#This Row],[Total SAM]]/$Q$36,0)</f>
        <v>0</v>
      </c>
      <c r="AB8" s="17">
        <f t="shared" si="2"/>
        <v>0</v>
      </c>
      <c r="AC8" s="17">
        <f t="shared" si="19"/>
        <v>0</v>
      </c>
      <c r="AD8" s="17"/>
      <c r="AE8" s="17">
        <v>0</v>
      </c>
      <c r="AF8" s="18">
        <f>Table4[[#This Row],[Provided FOB]]+Table4[[#This Row],[Addition]]</f>
        <v>0</v>
      </c>
      <c r="AG8" s="17">
        <f t="shared" si="3"/>
        <v>0</v>
      </c>
      <c r="AH8" s="19">
        <f t="shared" si="4"/>
        <v>0</v>
      </c>
      <c r="AI8" s="19">
        <f>IFERROR(Table4[[#This Row],[Per Min CM ]]/Table4[[#This Row],[Parity Rate]],0)*100</f>
        <v>0</v>
      </c>
      <c r="AJ8" s="20">
        <f t="shared" si="5"/>
        <v>0</v>
      </c>
      <c r="AK8" s="14">
        <f t="shared" si="6"/>
        <v>0</v>
      </c>
      <c r="AL8" s="15">
        <f t="shared" si="7"/>
        <v>0</v>
      </c>
      <c r="AM8" s="21">
        <f t="shared" si="8"/>
        <v>0</v>
      </c>
      <c r="AN8" s="15"/>
      <c r="AO8" s="21">
        <f t="shared" si="9"/>
        <v>0</v>
      </c>
      <c r="AP8" s="22">
        <f t="shared" si="10"/>
        <v>0</v>
      </c>
      <c r="AQ8" s="22">
        <f t="shared" si="11"/>
        <v>0</v>
      </c>
      <c r="AR8" s="22">
        <f t="shared" si="11"/>
        <v>0</v>
      </c>
      <c r="AS8" s="22">
        <f t="shared" si="12"/>
        <v>0</v>
      </c>
      <c r="AT8" s="22">
        <f t="shared" si="12"/>
        <v>0</v>
      </c>
      <c r="AU8" s="22">
        <f t="shared" si="13"/>
        <v>0</v>
      </c>
      <c r="AV8" s="22">
        <f t="shared" si="14"/>
        <v>0</v>
      </c>
      <c r="AW8" s="22">
        <f t="shared" si="15"/>
        <v>0</v>
      </c>
      <c r="AX8" s="22">
        <f t="shared" si="16"/>
        <v>0</v>
      </c>
      <c r="AY8" s="22">
        <f t="shared" si="16"/>
        <v>0</v>
      </c>
      <c r="AZ8" s="22">
        <f t="shared" si="20"/>
        <v>0</v>
      </c>
      <c r="BA8" s="22">
        <f t="shared" si="21"/>
        <v>0</v>
      </c>
      <c r="BB8" s="22">
        <f>Table4[[#This Row],[OH ]]*Table4[[#This Row],[Qty]]</f>
        <v>0</v>
      </c>
      <c r="BC8" s="22">
        <f>Table4[[#This Row],[Total Contribution]]-Table4[[#This Row],[Overheads]]</f>
        <v>0</v>
      </c>
      <c r="BD8" s="23" t="str">
        <f t="shared" si="17"/>
        <v>DENIMHERO/STOOKER</v>
      </c>
      <c r="BE8" s="24">
        <f t="shared" si="22"/>
        <v>0</v>
      </c>
      <c r="BG8" s="5"/>
      <c r="BH8" s="24"/>
      <c r="BI8" s="24"/>
    </row>
    <row r="9" spans="1:61" x14ac:dyDescent="0.3">
      <c r="A9" s="12" t="str">
        <f>'Month Wise Sales Qty'!A9</f>
        <v>RIZWAN</v>
      </c>
      <c r="B9" s="13" t="str">
        <f>'Month Wise Sales Qty'!B9</f>
        <v>NON DENIM</v>
      </c>
      <c r="C9" s="13"/>
      <c r="D9" s="13" t="str">
        <f>'Month Wise Sales Qty'!C9</f>
        <v>SORBINO</v>
      </c>
      <c r="E9" s="14">
        <f>SUMIFS('Month Wise Sales Qty'!P:P,'Month Wise Sales Qty'!C:C,Table4[[#This Row],[Customer]],'Month Wise Sales Qty'!B:B,Table4[[#This Row],[Wash Type]],'Month Wise Sales Qty'!A:A,Table4[[#This Row],[Team]])</f>
        <v>285000</v>
      </c>
      <c r="F9" s="15"/>
      <c r="G9" s="15"/>
      <c r="H9" s="15">
        <f>Table4[[#This Row],[Fabric Cons]]*Table4[[#This Row],[Fab Price]]</f>
        <v>0</v>
      </c>
      <c r="I9" s="15"/>
      <c r="J9" s="15"/>
      <c r="K9" s="15">
        <f>Table4[[#This Row],[Pocket Cons]]*Table4[[#This Row],[Pocketing Price]]</f>
        <v>0</v>
      </c>
      <c r="L9" s="15"/>
      <c r="M9" s="15"/>
      <c r="N9" s="15"/>
      <c r="O9" s="15"/>
      <c r="P9" s="15"/>
      <c r="Q9" s="14">
        <f t="shared" si="18"/>
        <v>0</v>
      </c>
      <c r="R9" s="15"/>
      <c r="S9" s="15"/>
      <c r="T9" s="15"/>
      <c r="U9" s="15"/>
      <c r="V9" s="15">
        <f t="shared" si="0"/>
        <v>0</v>
      </c>
      <c r="W9" s="15"/>
      <c r="X9" s="15"/>
      <c r="Y9" s="16">
        <f t="shared" si="1"/>
        <v>0</v>
      </c>
      <c r="Z9" s="17">
        <f>Table4[[#This Row],[Target FOB]]-Table4[[#This Row],[Cost Price]]</f>
        <v>0</v>
      </c>
      <c r="AA9" s="17">
        <f>IFERROR(Table4[[#This Row],[Total SAM]]/$Q$36,0)</f>
        <v>0</v>
      </c>
      <c r="AB9" s="17">
        <f t="shared" si="2"/>
        <v>0</v>
      </c>
      <c r="AC9" s="17">
        <f t="shared" si="19"/>
        <v>0</v>
      </c>
      <c r="AD9" s="17"/>
      <c r="AE9" s="17">
        <v>0</v>
      </c>
      <c r="AF9" s="18">
        <f>Table4[[#This Row],[Provided FOB]]+Table4[[#This Row],[Addition]]</f>
        <v>0</v>
      </c>
      <c r="AG9" s="17">
        <f t="shared" si="3"/>
        <v>0</v>
      </c>
      <c r="AH9" s="19">
        <f t="shared" si="4"/>
        <v>0</v>
      </c>
      <c r="AI9" s="19">
        <f>IFERROR(Table4[[#This Row],[Per Min CM ]]/Table4[[#This Row],[Parity Rate]],0)*100</f>
        <v>0</v>
      </c>
      <c r="AJ9" s="20">
        <f t="shared" si="5"/>
        <v>0</v>
      </c>
      <c r="AK9" s="14">
        <f t="shared" si="6"/>
        <v>0</v>
      </c>
      <c r="AL9" s="15">
        <f t="shared" si="7"/>
        <v>0</v>
      </c>
      <c r="AM9" s="21">
        <f t="shared" si="8"/>
        <v>0</v>
      </c>
      <c r="AN9" s="15"/>
      <c r="AO9" s="21">
        <f t="shared" si="9"/>
        <v>0</v>
      </c>
      <c r="AP9" s="22">
        <f t="shared" si="10"/>
        <v>0</v>
      </c>
      <c r="AQ9" s="22">
        <f t="shared" si="11"/>
        <v>0</v>
      </c>
      <c r="AR9" s="22">
        <f t="shared" si="11"/>
        <v>0</v>
      </c>
      <c r="AS9" s="22">
        <f t="shared" si="12"/>
        <v>0</v>
      </c>
      <c r="AT9" s="22">
        <f t="shared" si="12"/>
        <v>0</v>
      </c>
      <c r="AU9" s="22">
        <f t="shared" si="13"/>
        <v>0</v>
      </c>
      <c r="AV9" s="22">
        <f t="shared" si="14"/>
        <v>0</v>
      </c>
      <c r="AW9" s="22">
        <f t="shared" si="15"/>
        <v>0</v>
      </c>
      <c r="AX9" s="22">
        <f t="shared" si="16"/>
        <v>0</v>
      </c>
      <c r="AY9" s="22">
        <f t="shared" si="16"/>
        <v>0</v>
      </c>
      <c r="AZ9" s="22">
        <f t="shared" si="20"/>
        <v>0</v>
      </c>
      <c r="BA9" s="22">
        <f t="shared" si="21"/>
        <v>0</v>
      </c>
      <c r="BB9" s="22">
        <f>Table4[[#This Row],[OH ]]*Table4[[#This Row],[Qty]]</f>
        <v>0</v>
      </c>
      <c r="BC9" s="22">
        <f>Table4[[#This Row],[Total Contribution]]-Table4[[#This Row],[Overheads]]</f>
        <v>0</v>
      </c>
      <c r="BD9" s="23" t="str">
        <f t="shared" si="17"/>
        <v>NON DENIMSORBINO</v>
      </c>
      <c r="BE9" s="24">
        <f t="shared" si="22"/>
        <v>0</v>
      </c>
      <c r="BG9" s="5"/>
      <c r="BH9" s="24"/>
      <c r="BI9" s="24"/>
    </row>
    <row r="10" spans="1:61" x14ac:dyDescent="0.3">
      <c r="A10" s="12" t="str">
        <f>'Month Wise Sales Qty'!A10</f>
        <v>RIZWAN</v>
      </c>
      <c r="B10" s="13" t="str">
        <f>'Month Wise Sales Qty'!B10</f>
        <v>NON DENIM</v>
      </c>
      <c r="C10" s="13"/>
      <c r="D10" s="13" t="str">
        <f>'Month Wise Sales Qty'!C10</f>
        <v>ELVIN</v>
      </c>
      <c r="E10" s="14">
        <f>SUMIFS('Month Wise Sales Qty'!P:P,'Month Wise Sales Qty'!C:C,Table4[[#This Row],[Customer]],'Month Wise Sales Qty'!B:B,Table4[[#This Row],[Wash Type]],'Month Wise Sales Qty'!A:A,Table4[[#This Row],[Team]])</f>
        <v>115000</v>
      </c>
      <c r="F10" s="15"/>
      <c r="G10" s="15"/>
      <c r="H10" s="15">
        <f>Table4[[#This Row],[Fabric Cons]]*Table4[[#This Row],[Fab Price]]</f>
        <v>0</v>
      </c>
      <c r="I10" s="15"/>
      <c r="J10" s="15"/>
      <c r="K10" s="15">
        <f>Table4[[#This Row],[Pocket Cons]]*Table4[[#This Row],[Pocketing Price]]</f>
        <v>0</v>
      </c>
      <c r="L10" s="15"/>
      <c r="M10" s="15"/>
      <c r="N10" s="15"/>
      <c r="O10" s="15"/>
      <c r="P10" s="15"/>
      <c r="Q10" s="14">
        <f t="shared" si="18"/>
        <v>0</v>
      </c>
      <c r="R10" s="15"/>
      <c r="S10" s="15"/>
      <c r="T10" s="15"/>
      <c r="U10" s="15"/>
      <c r="V10" s="15">
        <f t="shared" si="0"/>
        <v>0</v>
      </c>
      <c r="W10" s="15"/>
      <c r="X10" s="15"/>
      <c r="Y10" s="16">
        <f t="shared" si="1"/>
        <v>0</v>
      </c>
      <c r="Z10" s="17">
        <f>Table4[[#This Row],[Target FOB]]-Table4[[#This Row],[Cost Price]]</f>
        <v>0</v>
      </c>
      <c r="AA10" s="17">
        <f>IFERROR(Table4[[#This Row],[Total SAM]]/$Q$36,0)</f>
        <v>0</v>
      </c>
      <c r="AB10" s="17">
        <f t="shared" si="2"/>
        <v>0</v>
      </c>
      <c r="AC10" s="17">
        <f t="shared" si="19"/>
        <v>0</v>
      </c>
      <c r="AD10" s="17"/>
      <c r="AE10" s="17">
        <v>0</v>
      </c>
      <c r="AF10" s="18">
        <f>Table4[[#This Row],[Provided FOB]]+Table4[[#This Row],[Addition]]</f>
        <v>0</v>
      </c>
      <c r="AG10" s="17">
        <f t="shared" si="3"/>
        <v>0</v>
      </c>
      <c r="AH10" s="19">
        <f t="shared" si="4"/>
        <v>0</v>
      </c>
      <c r="AI10" s="19">
        <f>IFERROR(Table4[[#This Row],[Per Min CM ]]/Table4[[#This Row],[Parity Rate]],0)*100</f>
        <v>0</v>
      </c>
      <c r="AJ10" s="20">
        <f t="shared" si="5"/>
        <v>0</v>
      </c>
      <c r="AK10" s="14">
        <f t="shared" si="6"/>
        <v>0</v>
      </c>
      <c r="AL10" s="15">
        <f t="shared" si="7"/>
        <v>0</v>
      </c>
      <c r="AM10" s="21">
        <f t="shared" si="8"/>
        <v>0</v>
      </c>
      <c r="AN10" s="15"/>
      <c r="AO10" s="21">
        <f t="shared" si="9"/>
        <v>0</v>
      </c>
      <c r="AP10" s="22">
        <f t="shared" si="10"/>
        <v>0</v>
      </c>
      <c r="AQ10" s="22">
        <f t="shared" si="11"/>
        <v>0</v>
      </c>
      <c r="AR10" s="22">
        <f t="shared" si="11"/>
        <v>0</v>
      </c>
      <c r="AS10" s="22">
        <f t="shared" si="12"/>
        <v>0</v>
      </c>
      <c r="AT10" s="22">
        <f t="shared" si="12"/>
        <v>0</v>
      </c>
      <c r="AU10" s="22">
        <f t="shared" si="13"/>
        <v>0</v>
      </c>
      <c r="AV10" s="22">
        <f t="shared" si="14"/>
        <v>0</v>
      </c>
      <c r="AW10" s="22">
        <f t="shared" si="15"/>
        <v>0</v>
      </c>
      <c r="AX10" s="22">
        <f t="shared" si="16"/>
        <v>0</v>
      </c>
      <c r="AY10" s="22">
        <f t="shared" si="16"/>
        <v>0</v>
      </c>
      <c r="AZ10" s="22">
        <f t="shared" si="20"/>
        <v>0</v>
      </c>
      <c r="BA10" s="22">
        <f t="shared" si="21"/>
        <v>0</v>
      </c>
      <c r="BB10" s="22">
        <f>Table4[[#This Row],[OH ]]*Table4[[#This Row],[Qty]]</f>
        <v>0</v>
      </c>
      <c r="BC10" s="22">
        <f>Table4[[#This Row],[Total Contribution]]-Table4[[#This Row],[Overheads]]</f>
        <v>0</v>
      </c>
      <c r="BD10" s="23" t="str">
        <f t="shared" si="17"/>
        <v>NON DENIMELVIN</v>
      </c>
      <c r="BE10" s="24">
        <f t="shared" si="22"/>
        <v>0</v>
      </c>
      <c r="BG10" s="5"/>
      <c r="BH10" s="24"/>
      <c r="BI10" s="24"/>
    </row>
    <row r="11" spans="1:61" x14ac:dyDescent="0.3">
      <c r="A11" s="12" t="str">
        <f>'Month Wise Sales Qty'!A11</f>
        <v>RIZWAN</v>
      </c>
      <c r="B11" s="13" t="str">
        <f>'Month Wise Sales Qty'!B11</f>
        <v>DENIM</v>
      </c>
      <c r="C11" s="13"/>
      <c r="D11" s="13" t="str">
        <f>'Month Wise Sales Qty'!C11</f>
        <v>ORIGINAL MARINE</v>
      </c>
      <c r="E11" s="14">
        <f>SUMIFS('Month Wise Sales Qty'!P:P,'Month Wise Sales Qty'!C:C,Table4[[#This Row],[Customer]],'Month Wise Sales Qty'!B:B,Table4[[#This Row],[Wash Type]],'Month Wise Sales Qty'!A:A,Table4[[#This Row],[Team]])</f>
        <v>75000</v>
      </c>
      <c r="F11" s="15"/>
      <c r="G11" s="15"/>
      <c r="H11" s="15">
        <f>Table4[[#This Row],[Fabric Cons]]*Table4[[#This Row],[Fab Price]]</f>
        <v>0</v>
      </c>
      <c r="I11" s="15"/>
      <c r="J11" s="15"/>
      <c r="K11" s="15">
        <f>Table4[[#This Row],[Pocket Cons]]*Table4[[#This Row],[Pocketing Price]]</f>
        <v>0</v>
      </c>
      <c r="L11" s="15"/>
      <c r="M11" s="15"/>
      <c r="N11" s="15"/>
      <c r="O11" s="15"/>
      <c r="P11" s="15"/>
      <c r="Q11" s="14">
        <f t="shared" si="18"/>
        <v>0</v>
      </c>
      <c r="R11" s="15"/>
      <c r="S11" s="15"/>
      <c r="T11" s="15"/>
      <c r="U11" s="15"/>
      <c r="V11" s="15">
        <f t="shared" si="0"/>
        <v>0</v>
      </c>
      <c r="W11" s="15"/>
      <c r="X11" s="15"/>
      <c r="Y11" s="16">
        <f t="shared" si="1"/>
        <v>0</v>
      </c>
      <c r="Z11" s="17">
        <f>Table4[[#This Row],[Target FOB]]-Table4[[#This Row],[Cost Price]]</f>
        <v>0</v>
      </c>
      <c r="AA11" s="17">
        <f>IFERROR(Table4[[#This Row],[Total SAM]]/$Q$36,0)</f>
        <v>0</v>
      </c>
      <c r="AB11" s="17">
        <f t="shared" si="2"/>
        <v>0</v>
      </c>
      <c r="AC11" s="17">
        <f t="shared" si="19"/>
        <v>0</v>
      </c>
      <c r="AD11" s="17"/>
      <c r="AE11" s="17">
        <v>0</v>
      </c>
      <c r="AF11" s="18">
        <f>Table4[[#This Row],[Provided FOB]]+Table4[[#This Row],[Addition]]</f>
        <v>0</v>
      </c>
      <c r="AG11" s="17">
        <f t="shared" si="3"/>
        <v>0</v>
      </c>
      <c r="AH11" s="19">
        <f t="shared" si="4"/>
        <v>0</v>
      </c>
      <c r="AI11" s="19">
        <f>IFERROR(Table4[[#This Row],[Per Min CM ]]/Table4[[#This Row],[Parity Rate]],0)*100</f>
        <v>0</v>
      </c>
      <c r="AJ11" s="20">
        <f t="shared" si="5"/>
        <v>0</v>
      </c>
      <c r="AK11" s="14">
        <f t="shared" si="6"/>
        <v>0</v>
      </c>
      <c r="AL11" s="15">
        <f t="shared" si="7"/>
        <v>0</v>
      </c>
      <c r="AM11" s="21">
        <f t="shared" si="8"/>
        <v>0</v>
      </c>
      <c r="AN11" s="15"/>
      <c r="AO11" s="21">
        <f t="shared" si="9"/>
        <v>0</v>
      </c>
      <c r="AP11" s="22">
        <f t="shared" si="10"/>
        <v>0</v>
      </c>
      <c r="AQ11" s="22">
        <f t="shared" si="11"/>
        <v>0</v>
      </c>
      <c r="AR11" s="22">
        <f t="shared" si="11"/>
        <v>0</v>
      </c>
      <c r="AS11" s="22">
        <f t="shared" si="12"/>
        <v>0</v>
      </c>
      <c r="AT11" s="22">
        <f t="shared" si="12"/>
        <v>0</v>
      </c>
      <c r="AU11" s="22">
        <f t="shared" si="13"/>
        <v>0</v>
      </c>
      <c r="AV11" s="22">
        <f t="shared" si="14"/>
        <v>0</v>
      </c>
      <c r="AW11" s="22">
        <f t="shared" si="15"/>
        <v>0</v>
      </c>
      <c r="AX11" s="22">
        <f t="shared" si="16"/>
        <v>0</v>
      </c>
      <c r="AY11" s="22">
        <f t="shared" si="16"/>
        <v>0</v>
      </c>
      <c r="AZ11" s="22">
        <f t="shared" si="20"/>
        <v>0</v>
      </c>
      <c r="BA11" s="22">
        <f t="shared" si="21"/>
        <v>0</v>
      </c>
      <c r="BB11" s="22">
        <f>Table4[[#This Row],[OH ]]*Table4[[#This Row],[Qty]]</f>
        <v>0</v>
      </c>
      <c r="BC11" s="22">
        <f>Table4[[#This Row],[Total Contribution]]-Table4[[#This Row],[Overheads]]</f>
        <v>0</v>
      </c>
      <c r="BD11" s="23" t="str">
        <f t="shared" si="17"/>
        <v>DENIMORIGINAL MARINE</v>
      </c>
      <c r="BE11" s="24">
        <f t="shared" si="22"/>
        <v>0</v>
      </c>
      <c r="BG11" s="5"/>
      <c r="BH11" s="24"/>
      <c r="BI11" s="24"/>
    </row>
    <row r="12" spans="1:61" x14ac:dyDescent="0.3">
      <c r="A12" s="12" t="str">
        <f>'Month Wise Sales Qty'!A12</f>
        <v>RIZWAN</v>
      </c>
      <c r="B12" s="13" t="str">
        <f>'Month Wise Sales Qty'!B12</f>
        <v>NON DENIM</v>
      </c>
      <c r="C12" s="13"/>
      <c r="D12" s="13" t="str">
        <f>'Month Wise Sales Qty'!C12</f>
        <v>SWING JEANS</v>
      </c>
      <c r="E12" s="14">
        <f>SUMIFS('Month Wise Sales Qty'!P:P,'Month Wise Sales Qty'!C:C,Table4[[#This Row],[Customer]],'Month Wise Sales Qty'!B:B,Table4[[#This Row],[Wash Type]],'Month Wise Sales Qty'!A:A,Table4[[#This Row],[Team]])</f>
        <v>80000</v>
      </c>
      <c r="F12" s="15"/>
      <c r="G12" s="15"/>
      <c r="H12" s="15">
        <f>Table4[[#This Row],[Fabric Cons]]*Table4[[#This Row],[Fab Price]]</f>
        <v>0</v>
      </c>
      <c r="I12" s="15"/>
      <c r="J12" s="15"/>
      <c r="K12" s="15">
        <f>Table4[[#This Row],[Pocket Cons]]*Table4[[#This Row],[Pocketing Price]]</f>
        <v>0</v>
      </c>
      <c r="L12" s="15"/>
      <c r="M12" s="15"/>
      <c r="N12" s="15"/>
      <c r="O12" s="15"/>
      <c r="P12" s="15"/>
      <c r="Q12" s="14">
        <f t="shared" si="18"/>
        <v>0</v>
      </c>
      <c r="R12" s="15"/>
      <c r="S12" s="15"/>
      <c r="T12" s="15"/>
      <c r="U12" s="15"/>
      <c r="V12" s="15">
        <f t="shared" si="0"/>
        <v>0</v>
      </c>
      <c r="W12" s="15"/>
      <c r="X12" s="15"/>
      <c r="Y12" s="16">
        <f t="shared" si="1"/>
        <v>0</v>
      </c>
      <c r="Z12" s="17">
        <f>Table4[[#This Row],[Target FOB]]-Table4[[#This Row],[Cost Price]]</f>
        <v>0</v>
      </c>
      <c r="AA12" s="17">
        <f>IFERROR(Table4[[#This Row],[Total SAM]]/$Q$36,0)</f>
        <v>0</v>
      </c>
      <c r="AB12" s="17">
        <f t="shared" si="2"/>
        <v>0</v>
      </c>
      <c r="AC12" s="17">
        <f t="shared" si="19"/>
        <v>0</v>
      </c>
      <c r="AD12" s="17"/>
      <c r="AE12" s="17">
        <v>0</v>
      </c>
      <c r="AF12" s="18">
        <f>Table4[[#This Row],[Provided FOB]]+Table4[[#This Row],[Addition]]</f>
        <v>0</v>
      </c>
      <c r="AG12" s="17">
        <f t="shared" si="3"/>
        <v>0</v>
      </c>
      <c r="AH12" s="19">
        <f t="shared" si="4"/>
        <v>0</v>
      </c>
      <c r="AI12" s="19">
        <f>IFERROR(Table4[[#This Row],[Per Min CM ]]/Table4[[#This Row],[Parity Rate]],0)*100</f>
        <v>0</v>
      </c>
      <c r="AJ12" s="20">
        <f t="shared" si="5"/>
        <v>0</v>
      </c>
      <c r="AK12" s="14">
        <f t="shared" si="6"/>
        <v>0</v>
      </c>
      <c r="AL12" s="15">
        <f t="shared" si="7"/>
        <v>0</v>
      </c>
      <c r="AM12" s="21">
        <f t="shared" si="8"/>
        <v>0</v>
      </c>
      <c r="AN12" s="15"/>
      <c r="AO12" s="21">
        <f t="shared" si="9"/>
        <v>0</v>
      </c>
      <c r="AP12" s="22">
        <f t="shared" si="10"/>
        <v>0</v>
      </c>
      <c r="AQ12" s="22">
        <f t="shared" si="11"/>
        <v>0</v>
      </c>
      <c r="AR12" s="22">
        <f t="shared" si="11"/>
        <v>0</v>
      </c>
      <c r="AS12" s="22">
        <f t="shared" si="12"/>
        <v>0</v>
      </c>
      <c r="AT12" s="22">
        <f t="shared" si="12"/>
        <v>0</v>
      </c>
      <c r="AU12" s="22">
        <f t="shared" si="13"/>
        <v>0</v>
      </c>
      <c r="AV12" s="22">
        <f t="shared" si="14"/>
        <v>0</v>
      </c>
      <c r="AW12" s="22">
        <f t="shared" si="15"/>
        <v>0</v>
      </c>
      <c r="AX12" s="22">
        <f t="shared" si="16"/>
        <v>0</v>
      </c>
      <c r="AY12" s="22">
        <f t="shared" si="16"/>
        <v>0</v>
      </c>
      <c r="AZ12" s="22">
        <f t="shared" si="20"/>
        <v>0</v>
      </c>
      <c r="BA12" s="22">
        <f t="shared" si="21"/>
        <v>0</v>
      </c>
      <c r="BB12" s="22">
        <f>Table4[[#This Row],[OH ]]*Table4[[#This Row],[Qty]]</f>
        <v>0</v>
      </c>
      <c r="BC12" s="22">
        <f>Table4[[#This Row],[Total Contribution]]-Table4[[#This Row],[Overheads]]</f>
        <v>0</v>
      </c>
      <c r="BD12" s="23" t="str">
        <f t="shared" si="17"/>
        <v>NON DENIMSWING JEANS</v>
      </c>
      <c r="BE12" s="24">
        <f t="shared" si="22"/>
        <v>0</v>
      </c>
      <c r="BG12" s="5"/>
      <c r="BH12" s="24"/>
      <c r="BI12" s="24"/>
    </row>
    <row r="13" spans="1:61" x14ac:dyDescent="0.3">
      <c r="A13" s="12" t="str">
        <f>'Month Wise Sales Qty'!A13</f>
        <v>RIZWAN</v>
      </c>
      <c r="B13" s="13" t="str">
        <f>'Month Wise Sales Qty'!B13</f>
        <v>DENIM</v>
      </c>
      <c r="C13" s="13"/>
      <c r="D13" s="13" t="str">
        <f>'Month Wise Sales Qty'!C13</f>
        <v>NEW YORKER</v>
      </c>
      <c r="E13" s="14">
        <f>SUMIFS('Month Wise Sales Qty'!P:P,'Month Wise Sales Qty'!C:C,Table4[[#This Row],[Customer]],'Month Wise Sales Qty'!B:B,Table4[[#This Row],[Wash Type]],'Month Wise Sales Qty'!A:A,Table4[[#This Row],[Team]])</f>
        <v>506000</v>
      </c>
      <c r="F13" s="15"/>
      <c r="G13" s="15"/>
      <c r="H13" s="15">
        <f>Table4[[#This Row],[Fabric Cons]]*Table4[[#This Row],[Fab Price]]</f>
        <v>0</v>
      </c>
      <c r="I13" s="15"/>
      <c r="J13" s="15"/>
      <c r="K13" s="15">
        <f>Table4[[#This Row],[Pocket Cons]]*Table4[[#This Row],[Pocketing Price]]</f>
        <v>0</v>
      </c>
      <c r="L13" s="15"/>
      <c r="M13" s="15"/>
      <c r="N13" s="15"/>
      <c r="O13" s="15"/>
      <c r="P13" s="15"/>
      <c r="Q13" s="14">
        <f t="shared" si="18"/>
        <v>0</v>
      </c>
      <c r="R13" s="15"/>
      <c r="S13" s="15"/>
      <c r="T13" s="15"/>
      <c r="U13" s="15"/>
      <c r="V13" s="15">
        <f t="shared" si="0"/>
        <v>0</v>
      </c>
      <c r="W13" s="15"/>
      <c r="X13" s="15"/>
      <c r="Y13" s="16">
        <f t="shared" si="1"/>
        <v>0</v>
      </c>
      <c r="Z13" s="17">
        <f>Table4[[#This Row],[Target FOB]]-Table4[[#This Row],[Cost Price]]</f>
        <v>0</v>
      </c>
      <c r="AA13" s="17">
        <f>IFERROR(Table4[[#This Row],[Total SAM]]/$Q$36,0)</f>
        <v>0</v>
      </c>
      <c r="AB13" s="17">
        <f t="shared" si="2"/>
        <v>0</v>
      </c>
      <c r="AC13" s="17">
        <f t="shared" si="19"/>
        <v>0</v>
      </c>
      <c r="AD13" s="17"/>
      <c r="AE13" s="17">
        <v>0</v>
      </c>
      <c r="AF13" s="18">
        <f>Table4[[#This Row],[Provided FOB]]+Table4[[#This Row],[Addition]]</f>
        <v>0</v>
      </c>
      <c r="AG13" s="17">
        <f t="shared" si="3"/>
        <v>0</v>
      </c>
      <c r="AH13" s="19">
        <f t="shared" si="4"/>
        <v>0</v>
      </c>
      <c r="AI13" s="19">
        <f>IFERROR(Table4[[#This Row],[Per Min CM ]]/Table4[[#This Row],[Parity Rate]],0)*100</f>
        <v>0</v>
      </c>
      <c r="AJ13" s="20">
        <f t="shared" si="5"/>
        <v>0</v>
      </c>
      <c r="AK13" s="14">
        <f t="shared" si="6"/>
        <v>0</v>
      </c>
      <c r="AL13" s="15">
        <f t="shared" si="7"/>
        <v>0</v>
      </c>
      <c r="AM13" s="21">
        <f t="shared" si="8"/>
        <v>0</v>
      </c>
      <c r="AN13" s="15"/>
      <c r="AO13" s="21">
        <f t="shared" si="9"/>
        <v>0</v>
      </c>
      <c r="AP13" s="22">
        <f t="shared" si="10"/>
        <v>0</v>
      </c>
      <c r="AQ13" s="22">
        <f t="shared" si="11"/>
        <v>0</v>
      </c>
      <c r="AR13" s="22">
        <f t="shared" si="11"/>
        <v>0</v>
      </c>
      <c r="AS13" s="22">
        <f t="shared" si="12"/>
        <v>0</v>
      </c>
      <c r="AT13" s="22">
        <f t="shared" si="12"/>
        <v>0</v>
      </c>
      <c r="AU13" s="22">
        <f t="shared" si="13"/>
        <v>0</v>
      </c>
      <c r="AV13" s="22">
        <f t="shared" si="14"/>
        <v>0</v>
      </c>
      <c r="AW13" s="22">
        <f t="shared" si="15"/>
        <v>0</v>
      </c>
      <c r="AX13" s="22">
        <f t="shared" si="16"/>
        <v>0</v>
      </c>
      <c r="AY13" s="22">
        <f t="shared" si="16"/>
        <v>0</v>
      </c>
      <c r="AZ13" s="22">
        <f t="shared" si="20"/>
        <v>0</v>
      </c>
      <c r="BA13" s="22">
        <f t="shared" si="21"/>
        <v>0</v>
      </c>
      <c r="BB13" s="22">
        <f>Table4[[#This Row],[OH ]]*Table4[[#This Row],[Qty]]</f>
        <v>0</v>
      </c>
      <c r="BC13" s="22">
        <f>Table4[[#This Row],[Total Contribution]]-Table4[[#This Row],[Overheads]]</f>
        <v>0</v>
      </c>
      <c r="BD13" s="23" t="str">
        <f t="shared" si="17"/>
        <v>DENIMNEW YORKER</v>
      </c>
      <c r="BE13" s="24">
        <f t="shared" si="22"/>
        <v>0</v>
      </c>
      <c r="BG13" s="5"/>
      <c r="BH13" s="24"/>
      <c r="BI13" s="24"/>
    </row>
    <row r="14" spans="1:61" x14ac:dyDescent="0.3">
      <c r="A14" s="12" t="str">
        <f>'Month Wise Sales Qty'!A14</f>
        <v>RIZWAN</v>
      </c>
      <c r="B14" s="13" t="str">
        <f>'Month Wise Sales Qty'!B14</f>
        <v>DENIM</v>
      </c>
      <c r="C14" s="13"/>
      <c r="D14" s="13" t="str">
        <f>'Month Wise Sales Qty'!C14</f>
        <v>LPP</v>
      </c>
      <c r="E14" s="14">
        <f>SUMIFS('Month Wise Sales Qty'!P:P,'Month Wise Sales Qty'!C:C,Table4[[#This Row],[Customer]],'Month Wise Sales Qty'!B:B,Table4[[#This Row],[Wash Type]],'Month Wise Sales Qty'!A:A,Table4[[#This Row],[Team]])</f>
        <v>95000</v>
      </c>
      <c r="F14" s="15"/>
      <c r="G14" s="15"/>
      <c r="H14" s="15">
        <f>Table4[[#This Row],[Fabric Cons]]*Table4[[#This Row],[Fab Price]]</f>
        <v>0</v>
      </c>
      <c r="I14" s="15"/>
      <c r="J14" s="15"/>
      <c r="K14" s="15">
        <f>Table4[[#This Row],[Pocket Cons]]*Table4[[#This Row],[Pocketing Price]]</f>
        <v>0</v>
      </c>
      <c r="L14" s="15"/>
      <c r="M14" s="15"/>
      <c r="N14" s="15"/>
      <c r="O14" s="15"/>
      <c r="P14" s="15"/>
      <c r="Q14" s="14">
        <f t="shared" si="18"/>
        <v>0</v>
      </c>
      <c r="R14" s="15"/>
      <c r="S14" s="15"/>
      <c r="T14" s="15"/>
      <c r="U14" s="15"/>
      <c r="V14" s="15">
        <f t="shared" si="0"/>
        <v>0</v>
      </c>
      <c r="W14" s="15"/>
      <c r="X14" s="15"/>
      <c r="Y14" s="16">
        <f t="shared" si="1"/>
        <v>0</v>
      </c>
      <c r="Z14" s="17">
        <f>Table4[[#This Row],[Target FOB]]-Table4[[#This Row],[Cost Price]]</f>
        <v>0</v>
      </c>
      <c r="AA14" s="17">
        <f>IFERROR(Table4[[#This Row],[Total SAM]]/$Q$36,0)</f>
        <v>0</v>
      </c>
      <c r="AB14" s="17">
        <f t="shared" si="2"/>
        <v>0</v>
      </c>
      <c r="AC14" s="17">
        <f t="shared" si="19"/>
        <v>0</v>
      </c>
      <c r="AD14" s="17"/>
      <c r="AE14" s="17">
        <v>0</v>
      </c>
      <c r="AF14" s="18">
        <f>Table4[[#This Row],[Provided FOB]]+Table4[[#This Row],[Addition]]</f>
        <v>0</v>
      </c>
      <c r="AG14" s="17">
        <f t="shared" si="3"/>
        <v>0</v>
      </c>
      <c r="AH14" s="19">
        <f t="shared" si="4"/>
        <v>0</v>
      </c>
      <c r="AI14" s="19">
        <f>IFERROR(Table4[[#This Row],[Per Min CM ]]/Table4[[#This Row],[Parity Rate]],0)*100</f>
        <v>0</v>
      </c>
      <c r="AJ14" s="20">
        <f t="shared" si="5"/>
        <v>0</v>
      </c>
      <c r="AK14" s="14">
        <f t="shared" si="6"/>
        <v>0</v>
      </c>
      <c r="AL14" s="15">
        <f t="shared" si="7"/>
        <v>0</v>
      </c>
      <c r="AM14" s="21">
        <f t="shared" si="8"/>
        <v>0</v>
      </c>
      <c r="AN14" s="15"/>
      <c r="AO14" s="21">
        <f t="shared" si="9"/>
        <v>0</v>
      </c>
      <c r="AP14" s="22">
        <f t="shared" si="10"/>
        <v>0</v>
      </c>
      <c r="AQ14" s="22">
        <f t="shared" si="11"/>
        <v>0</v>
      </c>
      <c r="AR14" s="22">
        <f t="shared" si="11"/>
        <v>0</v>
      </c>
      <c r="AS14" s="22">
        <f t="shared" si="12"/>
        <v>0</v>
      </c>
      <c r="AT14" s="22">
        <f t="shared" si="12"/>
        <v>0</v>
      </c>
      <c r="AU14" s="22">
        <f t="shared" si="13"/>
        <v>0</v>
      </c>
      <c r="AV14" s="22">
        <f t="shared" si="14"/>
        <v>0</v>
      </c>
      <c r="AW14" s="22">
        <f t="shared" si="15"/>
        <v>0</v>
      </c>
      <c r="AX14" s="22">
        <f t="shared" si="16"/>
        <v>0</v>
      </c>
      <c r="AY14" s="22">
        <f t="shared" si="16"/>
        <v>0</v>
      </c>
      <c r="AZ14" s="22">
        <f t="shared" si="20"/>
        <v>0</v>
      </c>
      <c r="BA14" s="22">
        <f t="shared" si="21"/>
        <v>0</v>
      </c>
      <c r="BB14" s="22">
        <f>Table4[[#This Row],[OH ]]*Table4[[#This Row],[Qty]]</f>
        <v>0</v>
      </c>
      <c r="BC14" s="22">
        <f>Table4[[#This Row],[Total Contribution]]-Table4[[#This Row],[Overheads]]</f>
        <v>0</v>
      </c>
      <c r="BD14" s="23" t="str">
        <f t="shared" si="17"/>
        <v>DENIMLPP</v>
      </c>
      <c r="BE14" s="24">
        <f t="shared" si="22"/>
        <v>0</v>
      </c>
      <c r="BG14" s="5"/>
      <c r="BH14" s="24"/>
      <c r="BI14" s="24"/>
    </row>
    <row r="15" spans="1:61" x14ac:dyDescent="0.3">
      <c r="A15" s="12" t="str">
        <f>'Month Wise Sales Qty'!A15</f>
        <v>RIZWAN</v>
      </c>
      <c r="B15" s="13" t="str">
        <f>'Month Wise Sales Qty'!B15</f>
        <v>NON DENIM</v>
      </c>
      <c r="C15" s="13"/>
      <c r="D15" s="13" t="str">
        <f>'Month Wise Sales Qty'!C15</f>
        <v>ECONOVA</v>
      </c>
      <c r="E15" s="14">
        <f>SUMIFS('Month Wise Sales Qty'!P:P,'Month Wise Sales Qty'!C:C,Table4[[#This Row],[Customer]],'Month Wise Sales Qty'!B:B,Table4[[#This Row],[Wash Type]],'Month Wise Sales Qty'!A:A,Table4[[#This Row],[Team]])</f>
        <v>135000</v>
      </c>
      <c r="F15" s="15"/>
      <c r="G15" s="15"/>
      <c r="H15" s="15">
        <f>Table4[[#This Row],[Fabric Cons]]*Table4[[#This Row],[Fab Price]]</f>
        <v>0</v>
      </c>
      <c r="I15" s="15"/>
      <c r="J15" s="15"/>
      <c r="K15" s="15">
        <f>Table4[[#This Row],[Pocket Cons]]*Table4[[#This Row],[Pocketing Price]]</f>
        <v>0</v>
      </c>
      <c r="L15" s="15"/>
      <c r="M15" s="15"/>
      <c r="N15" s="15"/>
      <c r="O15" s="15"/>
      <c r="P15" s="15"/>
      <c r="Q15" s="14">
        <f t="shared" si="18"/>
        <v>0</v>
      </c>
      <c r="R15" s="15"/>
      <c r="S15" s="15"/>
      <c r="T15" s="15"/>
      <c r="U15" s="15"/>
      <c r="V15" s="15">
        <f t="shared" si="0"/>
        <v>0</v>
      </c>
      <c r="W15" s="15"/>
      <c r="X15" s="15"/>
      <c r="Y15" s="16">
        <f t="shared" si="1"/>
        <v>0</v>
      </c>
      <c r="Z15" s="17">
        <f>Table4[[#This Row],[Target FOB]]-Table4[[#This Row],[Cost Price]]</f>
        <v>0</v>
      </c>
      <c r="AA15" s="17">
        <f>IFERROR(Table4[[#This Row],[Total SAM]]/$Q$36,0)</f>
        <v>0</v>
      </c>
      <c r="AB15" s="17">
        <f t="shared" si="2"/>
        <v>0</v>
      </c>
      <c r="AC15" s="17">
        <f t="shared" si="19"/>
        <v>0</v>
      </c>
      <c r="AD15" s="17"/>
      <c r="AE15" s="17">
        <v>0</v>
      </c>
      <c r="AF15" s="18">
        <f>Table4[[#This Row],[Provided FOB]]+Table4[[#This Row],[Addition]]</f>
        <v>0</v>
      </c>
      <c r="AG15" s="17">
        <f t="shared" si="3"/>
        <v>0</v>
      </c>
      <c r="AH15" s="19">
        <f t="shared" si="4"/>
        <v>0</v>
      </c>
      <c r="AI15" s="19">
        <f>IFERROR(Table4[[#This Row],[Per Min CM ]]/Table4[[#This Row],[Parity Rate]],0)*100</f>
        <v>0</v>
      </c>
      <c r="AJ15" s="20">
        <f t="shared" si="5"/>
        <v>0</v>
      </c>
      <c r="AK15" s="14">
        <f t="shared" si="6"/>
        <v>0</v>
      </c>
      <c r="AL15" s="15">
        <f t="shared" si="7"/>
        <v>0</v>
      </c>
      <c r="AM15" s="21">
        <f t="shared" si="8"/>
        <v>0</v>
      </c>
      <c r="AN15" s="15"/>
      <c r="AO15" s="21">
        <f t="shared" si="9"/>
        <v>0</v>
      </c>
      <c r="AP15" s="22">
        <f t="shared" si="10"/>
        <v>0</v>
      </c>
      <c r="AQ15" s="22">
        <f t="shared" si="11"/>
        <v>0</v>
      </c>
      <c r="AR15" s="22">
        <f t="shared" si="11"/>
        <v>0</v>
      </c>
      <c r="AS15" s="22">
        <f t="shared" si="12"/>
        <v>0</v>
      </c>
      <c r="AT15" s="22">
        <f t="shared" si="12"/>
        <v>0</v>
      </c>
      <c r="AU15" s="22">
        <f t="shared" si="13"/>
        <v>0</v>
      </c>
      <c r="AV15" s="22">
        <f t="shared" si="14"/>
        <v>0</v>
      </c>
      <c r="AW15" s="22">
        <f t="shared" si="15"/>
        <v>0</v>
      </c>
      <c r="AX15" s="22">
        <f t="shared" si="16"/>
        <v>0</v>
      </c>
      <c r="AY15" s="22">
        <f t="shared" si="16"/>
        <v>0</v>
      </c>
      <c r="AZ15" s="22">
        <f t="shared" si="20"/>
        <v>0</v>
      </c>
      <c r="BA15" s="22">
        <f t="shared" si="21"/>
        <v>0</v>
      </c>
      <c r="BB15" s="22">
        <f>Table4[[#This Row],[OH ]]*Table4[[#This Row],[Qty]]</f>
        <v>0</v>
      </c>
      <c r="BC15" s="22">
        <f>Table4[[#This Row],[Total Contribution]]-Table4[[#This Row],[Overheads]]</f>
        <v>0</v>
      </c>
      <c r="BD15" s="23" t="str">
        <f t="shared" si="17"/>
        <v>NON DENIMECONOVA</v>
      </c>
      <c r="BE15" s="24">
        <f t="shared" si="22"/>
        <v>0</v>
      </c>
      <c r="BG15" s="5"/>
      <c r="BH15" s="24"/>
      <c r="BI15" s="24"/>
    </row>
    <row r="16" spans="1:61" x14ac:dyDescent="0.3">
      <c r="A16" s="12" t="str">
        <f>'Month Wise Sales Qty'!A16</f>
        <v>RIZWAN</v>
      </c>
      <c r="B16" s="13" t="str">
        <f>'Month Wise Sales Qty'!B16</f>
        <v>DENIM</v>
      </c>
      <c r="C16" s="13"/>
      <c r="D16" s="13" t="str">
        <f>'Month Wise Sales Qty'!C16</f>
        <v>ECONOVA</v>
      </c>
      <c r="E16" s="14">
        <f>SUMIFS('Month Wise Sales Qty'!P:P,'Month Wise Sales Qty'!C:C,Table4[[#This Row],[Customer]],'Month Wise Sales Qty'!B:B,Table4[[#This Row],[Wash Type]],'Month Wise Sales Qty'!A:A,Table4[[#This Row],[Team]])</f>
        <v>90000</v>
      </c>
      <c r="F16" s="15"/>
      <c r="G16" s="15"/>
      <c r="H16" s="15">
        <f>Table4[[#This Row],[Fabric Cons]]*Table4[[#This Row],[Fab Price]]</f>
        <v>0</v>
      </c>
      <c r="I16" s="15"/>
      <c r="J16" s="15"/>
      <c r="K16" s="15">
        <f>Table4[[#This Row],[Pocket Cons]]*Table4[[#This Row],[Pocketing Price]]</f>
        <v>0</v>
      </c>
      <c r="L16" s="15"/>
      <c r="M16" s="15"/>
      <c r="N16" s="15"/>
      <c r="O16" s="15"/>
      <c r="P16" s="15"/>
      <c r="Q16" s="14">
        <f t="shared" si="18"/>
        <v>0</v>
      </c>
      <c r="R16" s="15"/>
      <c r="S16" s="15"/>
      <c r="T16" s="15"/>
      <c r="U16" s="15"/>
      <c r="V16" s="15">
        <f t="shared" si="0"/>
        <v>0</v>
      </c>
      <c r="W16" s="15"/>
      <c r="X16" s="15"/>
      <c r="Y16" s="16">
        <f t="shared" si="1"/>
        <v>0</v>
      </c>
      <c r="Z16" s="17">
        <f>Table4[[#This Row],[Target FOB]]-Table4[[#This Row],[Cost Price]]</f>
        <v>0</v>
      </c>
      <c r="AA16" s="17">
        <f>IFERROR(Table4[[#This Row],[Total SAM]]/$Q$36,0)</f>
        <v>0</v>
      </c>
      <c r="AB16" s="17">
        <f t="shared" si="2"/>
        <v>0</v>
      </c>
      <c r="AC16" s="17">
        <f t="shared" si="19"/>
        <v>0</v>
      </c>
      <c r="AD16" s="17"/>
      <c r="AE16" s="17">
        <v>0</v>
      </c>
      <c r="AF16" s="18">
        <f>Table4[[#This Row],[Provided FOB]]+Table4[[#This Row],[Addition]]</f>
        <v>0</v>
      </c>
      <c r="AG16" s="17">
        <f t="shared" si="3"/>
        <v>0</v>
      </c>
      <c r="AH16" s="19">
        <f t="shared" si="4"/>
        <v>0</v>
      </c>
      <c r="AI16" s="19">
        <f>IFERROR(Table4[[#This Row],[Per Min CM ]]/Table4[[#This Row],[Parity Rate]],0)*100</f>
        <v>0</v>
      </c>
      <c r="AJ16" s="20">
        <f t="shared" si="5"/>
        <v>0</v>
      </c>
      <c r="AK16" s="14">
        <f t="shared" si="6"/>
        <v>0</v>
      </c>
      <c r="AL16" s="15">
        <f t="shared" si="7"/>
        <v>0</v>
      </c>
      <c r="AM16" s="21">
        <f t="shared" si="8"/>
        <v>0</v>
      </c>
      <c r="AN16" s="15"/>
      <c r="AO16" s="21">
        <f t="shared" si="9"/>
        <v>0</v>
      </c>
      <c r="AP16" s="22">
        <f t="shared" si="10"/>
        <v>0</v>
      </c>
      <c r="AQ16" s="22">
        <f t="shared" si="11"/>
        <v>0</v>
      </c>
      <c r="AR16" s="22">
        <f t="shared" si="11"/>
        <v>0</v>
      </c>
      <c r="AS16" s="22">
        <f t="shared" si="12"/>
        <v>0</v>
      </c>
      <c r="AT16" s="22">
        <f t="shared" si="12"/>
        <v>0</v>
      </c>
      <c r="AU16" s="22">
        <f t="shared" si="13"/>
        <v>0</v>
      </c>
      <c r="AV16" s="22">
        <f t="shared" si="14"/>
        <v>0</v>
      </c>
      <c r="AW16" s="22">
        <f t="shared" si="15"/>
        <v>0</v>
      </c>
      <c r="AX16" s="22">
        <f t="shared" si="16"/>
        <v>0</v>
      </c>
      <c r="AY16" s="22">
        <f t="shared" si="16"/>
        <v>0</v>
      </c>
      <c r="AZ16" s="22">
        <f t="shared" si="20"/>
        <v>0</v>
      </c>
      <c r="BA16" s="22">
        <f t="shared" si="21"/>
        <v>0</v>
      </c>
      <c r="BB16" s="22">
        <f>Table4[[#This Row],[OH ]]*Table4[[#This Row],[Qty]]</f>
        <v>0</v>
      </c>
      <c r="BC16" s="22">
        <f>Table4[[#This Row],[Total Contribution]]-Table4[[#This Row],[Overheads]]</f>
        <v>0</v>
      </c>
      <c r="BD16" s="23" t="str">
        <f t="shared" si="17"/>
        <v>DENIMECONOVA</v>
      </c>
      <c r="BE16" s="24">
        <f t="shared" si="22"/>
        <v>0</v>
      </c>
      <c r="BG16" s="5"/>
      <c r="BH16" s="24"/>
      <c r="BI16" s="24"/>
    </row>
    <row r="17" spans="1:61" x14ac:dyDescent="0.3">
      <c r="A17" s="12" t="str">
        <f>'Month Wise Sales Qty'!A17</f>
        <v>DEEP</v>
      </c>
      <c r="B17" s="13" t="str">
        <f>'Month Wise Sales Qty'!B17</f>
        <v>DENIM</v>
      </c>
      <c r="C17" s="13"/>
      <c r="D17" s="13" t="str">
        <f>'Month Wise Sales Qty'!C17</f>
        <v>AEROPOSTALE</v>
      </c>
      <c r="E17" s="14">
        <f>SUMIFS('Month Wise Sales Qty'!P:P,'Month Wise Sales Qty'!C:C,Table4[[#This Row],[Customer]],'Month Wise Sales Qty'!B:B,Table4[[#This Row],[Wash Type]],'Month Wise Sales Qty'!A:A,Table4[[#This Row],[Team]])</f>
        <v>384584</v>
      </c>
      <c r="F17" s="15"/>
      <c r="G17" s="15"/>
      <c r="H17" s="15">
        <f>Table4[[#This Row],[Fabric Cons]]*Table4[[#This Row],[Fab Price]]</f>
        <v>0</v>
      </c>
      <c r="I17" s="15"/>
      <c r="J17" s="15"/>
      <c r="K17" s="15">
        <f>Table4[[#This Row],[Pocket Cons]]*Table4[[#This Row],[Pocketing Price]]</f>
        <v>0</v>
      </c>
      <c r="L17" s="15"/>
      <c r="M17" s="15"/>
      <c r="N17" s="15"/>
      <c r="O17" s="15"/>
      <c r="P17" s="15"/>
      <c r="Q17" s="14">
        <f t="shared" si="18"/>
        <v>0</v>
      </c>
      <c r="R17" s="15"/>
      <c r="S17" s="15"/>
      <c r="T17" s="15"/>
      <c r="U17" s="15"/>
      <c r="V17" s="15">
        <f t="shared" si="0"/>
        <v>0</v>
      </c>
      <c r="W17" s="15"/>
      <c r="X17" s="15"/>
      <c r="Y17" s="16">
        <f t="shared" si="1"/>
        <v>0</v>
      </c>
      <c r="Z17" s="17">
        <f>Table4[[#This Row],[Target FOB]]-Table4[[#This Row],[Cost Price]]</f>
        <v>0</v>
      </c>
      <c r="AA17" s="17">
        <f>IFERROR(Table4[[#This Row],[Total SAM]]/$Q$36,0)</f>
        <v>0</v>
      </c>
      <c r="AB17" s="17">
        <f t="shared" si="2"/>
        <v>0</v>
      </c>
      <c r="AC17" s="17">
        <f t="shared" si="19"/>
        <v>0</v>
      </c>
      <c r="AD17" s="17"/>
      <c r="AE17" s="17">
        <v>0</v>
      </c>
      <c r="AF17" s="18">
        <f>Table4[[#This Row],[Provided FOB]]+Table4[[#This Row],[Addition]]</f>
        <v>0</v>
      </c>
      <c r="AG17" s="17">
        <f t="shared" si="3"/>
        <v>0</v>
      </c>
      <c r="AH17" s="19">
        <f t="shared" si="4"/>
        <v>0</v>
      </c>
      <c r="AI17" s="19">
        <f>IFERROR(Table4[[#This Row],[Per Min CM ]]/Table4[[#This Row],[Parity Rate]],0)*100</f>
        <v>0</v>
      </c>
      <c r="AJ17" s="20">
        <f t="shared" si="5"/>
        <v>0</v>
      </c>
      <c r="AK17" s="14">
        <f t="shared" si="6"/>
        <v>0</v>
      </c>
      <c r="AL17" s="15">
        <f t="shared" si="7"/>
        <v>0</v>
      </c>
      <c r="AM17" s="21">
        <f t="shared" si="8"/>
        <v>0</v>
      </c>
      <c r="AN17" s="15"/>
      <c r="AO17" s="21">
        <f t="shared" si="9"/>
        <v>0</v>
      </c>
      <c r="AP17" s="22">
        <f t="shared" si="10"/>
        <v>0</v>
      </c>
      <c r="AQ17" s="22">
        <f t="shared" si="11"/>
        <v>0</v>
      </c>
      <c r="AR17" s="22">
        <f t="shared" si="11"/>
        <v>0</v>
      </c>
      <c r="AS17" s="22">
        <f t="shared" si="12"/>
        <v>0</v>
      </c>
      <c r="AT17" s="22">
        <f t="shared" si="12"/>
        <v>0</v>
      </c>
      <c r="AU17" s="22">
        <f t="shared" si="13"/>
        <v>0</v>
      </c>
      <c r="AV17" s="22">
        <f t="shared" si="14"/>
        <v>0</v>
      </c>
      <c r="AW17" s="22">
        <f t="shared" si="15"/>
        <v>0</v>
      </c>
      <c r="AX17" s="22">
        <f t="shared" si="16"/>
        <v>0</v>
      </c>
      <c r="AY17" s="22">
        <f t="shared" si="16"/>
        <v>0</v>
      </c>
      <c r="AZ17" s="22">
        <f t="shared" si="20"/>
        <v>0</v>
      </c>
      <c r="BA17" s="22">
        <f t="shared" si="21"/>
        <v>0</v>
      </c>
      <c r="BB17" s="22">
        <f>Table4[[#This Row],[OH ]]*Table4[[#This Row],[Qty]]</f>
        <v>0</v>
      </c>
      <c r="BC17" s="22">
        <f>Table4[[#This Row],[Total Contribution]]-Table4[[#This Row],[Overheads]]</f>
        <v>0</v>
      </c>
      <c r="BD17" s="23" t="str">
        <f t="shared" si="17"/>
        <v>DENIMAEROPOSTALE</v>
      </c>
      <c r="BE17" s="24">
        <f t="shared" si="22"/>
        <v>0</v>
      </c>
      <c r="BG17" s="5"/>
      <c r="BH17" s="24"/>
      <c r="BI17" s="24"/>
    </row>
    <row r="18" spans="1:61" x14ac:dyDescent="0.3">
      <c r="A18" s="12" t="str">
        <f>'Month Wise Sales Qty'!A18</f>
        <v>DEEP</v>
      </c>
      <c r="B18" s="13" t="str">
        <f>'Month Wise Sales Qty'!B18</f>
        <v>NON DENIM</v>
      </c>
      <c r="C18" s="13"/>
      <c r="D18" s="13" t="str">
        <f>'Month Wise Sales Qty'!C18</f>
        <v>AEROPOSTALE</v>
      </c>
      <c r="E18" s="14">
        <f>SUMIFS('Month Wise Sales Qty'!P:P,'Month Wise Sales Qty'!C:C,Table4[[#This Row],[Customer]],'Month Wise Sales Qty'!B:B,Table4[[#This Row],[Wash Type]],'Month Wise Sales Qty'!A:A,Table4[[#This Row],[Team]])</f>
        <v>70000</v>
      </c>
      <c r="F18" s="15"/>
      <c r="G18" s="15"/>
      <c r="H18" s="15">
        <f>Table4[[#This Row],[Fabric Cons]]*Table4[[#This Row],[Fab Price]]</f>
        <v>0</v>
      </c>
      <c r="I18" s="15"/>
      <c r="J18" s="15"/>
      <c r="K18" s="15">
        <f>Table4[[#This Row],[Pocket Cons]]*Table4[[#This Row],[Pocketing Price]]</f>
        <v>0</v>
      </c>
      <c r="L18" s="15"/>
      <c r="M18" s="15"/>
      <c r="N18" s="15"/>
      <c r="O18" s="15"/>
      <c r="P18" s="15"/>
      <c r="Q18" s="14">
        <f t="shared" si="18"/>
        <v>0</v>
      </c>
      <c r="R18" s="15"/>
      <c r="S18" s="15"/>
      <c r="T18" s="15"/>
      <c r="U18" s="15"/>
      <c r="V18" s="15">
        <f t="shared" si="0"/>
        <v>0</v>
      </c>
      <c r="W18" s="15"/>
      <c r="X18" s="15"/>
      <c r="Y18" s="16">
        <f t="shared" si="1"/>
        <v>0</v>
      </c>
      <c r="Z18" s="17">
        <f>Table4[[#This Row],[Target FOB]]-Table4[[#This Row],[Cost Price]]</f>
        <v>0</v>
      </c>
      <c r="AA18" s="17">
        <f>IFERROR(Table4[[#This Row],[Total SAM]]/$Q$36,0)</f>
        <v>0</v>
      </c>
      <c r="AB18" s="17">
        <f t="shared" si="2"/>
        <v>0</v>
      </c>
      <c r="AC18" s="17">
        <f t="shared" si="19"/>
        <v>0</v>
      </c>
      <c r="AD18" s="17"/>
      <c r="AE18" s="17">
        <v>0</v>
      </c>
      <c r="AF18" s="18">
        <f>Table4[[#This Row],[Provided FOB]]+Table4[[#This Row],[Addition]]</f>
        <v>0</v>
      </c>
      <c r="AG18" s="17">
        <f t="shared" si="3"/>
        <v>0</v>
      </c>
      <c r="AH18" s="19">
        <f t="shared" si="4"/>
        <v>0</v>
      </c>
      <c r="AI18" s="19">
        <f>IFERROR(Table4[[#This Row],[Per Min CM ]]/Table4[[#This Row],[Parity Rate]],0)*100</f>
        <v>0</v>
      </c>
      <c r="AJ18" s="20">
        <f t="shared" si="5"/>
        <v>0</v>
      </c>
      <c r="AK18" s="14">
        <f t="shared" si="6"/>
        <v>0</v>
      </c>
      <c r="AL18" s="15">
        <f t="shared" si="7"/>
        <v>0</v>
      </c>
      <c r="AM18" s="21">
        <f t="shared" si="8"/>
        <v>0</v>
      </c>
      <c r="AN18" s="15"/>
      <c r="AO18" s="21">
        <f t="shared" si="9"/>
        <v>0</v>
      </c>
      <c r="AP18" s="22">
        <f t="shared" si="10"/>
        <v>0</v>
      </c>
      <c r="AQ18" s="22">
        <f t="shared" si="11"/>
        <v>0</v>
      </c>
      <c r="AR18" s="22">
        <f t="shared" si="11"/>
        <v>0</v>
      </c>
      <c r="AS18" s="22">
        <f t="shared" si="12"/>
        <v>0</v>
      </c>
      <c r="AT18" s="22">
        <f t="shared" si="12"/>
        <v>0</v>
      </c>
      <c r="AU18" s="22">
        <f t="shared" si="13"/>
        <v>0</v>
      </c>
      <c r="AV18" s="22">
        <f t="shared" si="14"/>
        <v>0</v>
      </c>
      <c r="AW18" s="22">
        <f t="shared" si="15"/>
        <v>0</v>
      </c>
      <c r="AX18" s="22">
        <f t="shared" si="16"/>
        <v>0</v>
      </c>
      <c r="AY18" s="22">
        <f t="shared" si="16"/>
        <v>0</v>
      </c>
      <c r="AZ18" s="22">
        <f t="shared" si="20"/>
        <v>0</v>
      </c>
      <c r="BA18" s="22">
        <f t="shared" si="21"/>
        <v>0</v>
      </c>
      <c r="BB18" s="22">
        <f>Table4[[#This Row],[OH ]]*Table4[[#This Row],[Qty]]</f>
        <v>0</v>
      </c>
      <c r="BC18" s="22">
        <f>Table4[[#This Row],[Total Contribution]]-Table4[[#This Row],[Overheads]]</f>
        <v>0</v>
      </c>
      <c r="BD18" s="23" t="str">
        <f t="shared" si="17"/>
        <v>NON DENIMAEROPOSTALE</v>
      </c>
      <c r="BE18" s="24">
        <f t="shared" si="22"/>
        <v>0</v>
      </c>
      <c r="BG18" s="5"/>
      <c r="BH18" s="24"/>
      <c r="BI18" s="24"/>
    </row>
    <row r="19" spans="1:61" x14ac:dyDescent="0.3">
      <c r="A19" s="12" t="str">
        <f>'Month Wise Sales Qty'!A19</f>
        <v>DEEP</v>
      </c>
      <c r="B19" s="13" t="str">
        <f>'Month Wise Sales Qty'!B19</f>
        <v>DENIM</v>
      </c>
      <c r="C19" s="13"/>
      <c r="D19" s="13" t="str">
        <f>'Month Wise Sales Qty'!C19</f>
        <v>LUCKY BRANDS</v>
      </c>
      <c r="E19" s="14">
        <f>SUMIFS('Month Wise Sales Qty'!P:P,'Month Wise Sales Qty'!C:C,Table4[[#This Row],[Customer]],'Month Wise Sales Qty'!B:B,Table4[[#This Row],[Wash Type]],'Month Wise Sales Qty'!A:A,Table4[[#This Row],[Team]])</f>
        <v>404584</v>
      </c>
      <c r="F19" s="15"/>
      <c r="G19" s="15"/>
      <c r="H19" s="15">
        <f>Table4[[#This Row],[Fabric Cons]]*Table4[[#This Row],[Fab Price]]</f>
        <v>0</v>
      </c>
      <c r="I19" s="15"/>
      <c r="J19" s="15"/>
      <c r="K19" s="15">
        <f>Table4[[#This Row],[Pocket Cons]]*Table4[[#This Row],[Pocketing Price]]</f>
        <v>0</v>
      </c>
      <c r="L19" s="15"/>
      <c r="M19" s="15"/>
      <c r="N19" s="15"/>
      <c r="O19" s="15"/>
      <c r="P19" s="15"/>
      <c r="Q19" s="14">
        <f t="shared" si="18"/>
        <v>0</v>
      </c>
      <c r="R19" s="15"/>
      <c r="S19" s="15"/>
      <c r="T19" s="15"/>
      <c r="U19" s="15"/>
      <c r="V19" s="15">
        <f t="shared" si="0"/>
        <v>0</v>
      </c>
      <c r="W19" s="15"/>
      <c r="X19" s="15"/>
      <c r="Y19" s="16">
        <f t="shared" si="1"/>
        <v>0</v>
      </c>
      <c r="Z19" s="17">
        <f>Table4[[#This Row],[Target FOB]]-Table4[[#This Row],[Cost Price]]</f>
        <v>0</v>
      </c>
      <c r="AA19" s="17">
        <f>IFERROR(Table4[[#This Row],[Total SAM]]/$Q$36,0)</f>
        <v>0</v>
      </c>
      <c r="AB19" s="17">
        <f t="shared" si="2"/>
        <v>0</v>
      </c>
      <c r="AC19" s="17">
        <f t="shared" si="19"/>
        <v>0</v>
      </c>
      <c r="AD19" s="17"/>
      <c r="AE19" s="17">
        <v>0</v>
      </c>
      <c r="AF19" s="18">
        <f>Table4[[#This Row],[Provided FOB]]+Table4[[#This Row],[Addition]]</f>
        <v>0</v>
      </c>
      <c r="AG19" s="17">
        <f t="shared" si="3"/>
        <v>0</v>
      </c>
      <c r="AH19" s="19">
        <f t="shared" si="4"/>
        <v>0</v>
      </c>
      <c r="AI19" s="19">
        <f>IFERROR(Table4[[#This Row],[Per Min CM ]]/Table4[[#This Row],[Parity Rate]],0)*100</f>
        <v>0</v>
      </c>
      <c r="AJ19" s="20">
        <f t="shared" si="5"/>
        <v>0</v>
      </c>
      <c r="AK19" s="14">
        <f t="shared" si="6"/>
        <v>0</v>
      </c>
      <c r="AL19" s="15">
        <f t="shared" si="7"/>
        <v>0</v>
      </c>
      <c r="AM19" s="21">
        <f t="shared" si="8"/>
        <v>0</v>
      </c>
      <c r="AN19" s="15"/>
      <c r="AO19" s="21">
        <f t="shared" si="9"/>
        <v>0</v>
      </c>
      <c r="AP19" s="22">
        <f t="shared" si="10"/>
        <v>0</v>
      </c>
      <c r="AQ19" s="22">
        <f t="shared" si="11"/>
        <v>0</v>
      </c>
      <c r="AR19" s="22">
        <f t="shared" si="11"/>
        <v>0</v>
      </c>
      <c r="AS19" s="22">
        <f t="shared" si="12"/>
        <v>0</v>
      </c>
      <c r="AT19" s="22">
        <f t="shared" si="12"/>
        <v>0</v>
      </c>
      <c r="AU19" s="22">
        <f t="shared" si="13"/>
        <v>0</v>
      </c>
      <c r="AV19" s="22">
        <f t="shared" si="14"/>
        <v>0</v>
      </c>
      <c r="AW19" s="22">
        <f t="shared" si="15"/>
        <v>0</v>
      </c>
      <c r="AX19" s="22">
        <f t="shared" si="16"/>
        <v>0</v>
      </c>
      <c r="AY19" s="22">
        <f t="shared" si="16"/>
        <v>0</v>
      </c>
      <c r="AZ19" s="22">
        <f t="shared" si="20"/>
        <v>0</v>
      </c>
      <c r="BA19" s="22">
        <f t="shared" si="21"/>
        <v>0</v>
      </c>
      <c r="BB19" s="22">
        <f>Table4[[#This Row],[OH ]]*Table4[[#This Row],[Qty]]</f>
        <v>0</v>
      </c>
      <c r="BC19" s="22">
        <f>Table4[[#This Row],[Total Contribution]]-Table4[[#This Row],[Overheads]]</f>
        <v>0</v>
      </c>
      <c r="BD19" s="23" t="str">
        <f t="shared" si="17"/>
        <v>DENIMLUCKY BRANDS</v>
      </c>
      <c r="BE19" s="24">
        <f t="shared" si="22"/>
        <v>0</v>
      </c>
      <c r="BG19" s="5"/>
      <c r="BH19" s="24"/>
      <c r="BI19" s="24"/>
    </row>
    <row r="20" spans="1:61" x14ac:dyDescent="0.3">
      <c r="A20" s="12" t="str">
        <f>'Month Wise Sales Qty'!A20</f>
        <v>DEEP</v>
      </c>
      <c r="B20" s="13" t="str">
        <f>'Month Wise Sales Qty'!B20</f>
        <v>NON DENIM</v>
      </c>
      <c r="C20" s="13"/>
      <c r="D20" s="13" t="str">
        <f>'Month Wise Sales Qty'!C20</f>
        <v>FASHION NOVA</v>
      </c>
      <c r="E20" s="14">
        <f>SUMIFS('Month Wise Sales Qty'!P:P,'Month Wise Sales Qty'!C:C,Table4[[#This Row],[Customer]],'Month Wise Sales Qty'!B:B,Table4[[#This Row],[Wash Type]],'Month Wise Sales Qty'!A:A,Table4[[#This Row],[Team]])</f>
        <v>169940</v>
      </c>
      <c r="F20" s="15"/>
      <c r="G20" s="15"/>
      <c r="H20" s="15">
        <f>Table4[[#This Row],[Fabric Cons]]*Table4[[#This Row],[Fab Price]]</f>
        <v>0</v>
      </c>
      <c r="I20" s="15"/>
      <c r="J20" s="15"/>
      <c r="K20" s="15">
        <f>Table4[[#This Row],[Pocket Cons]]*Table4[[#This Row],[Pocketing Price]]</f>
        <v>0</v>
      </c>
      <c r="L20" s="15"/>
      <c r="M20" s="15"/>
      <c r="N20" s="15"/>
      <c r="O20" s="15"/>
      <c r="P20" s="15"/>
      <c r="Q20" s="14">
        <f t="shared" si="18"/>
        <v>0</v>
      </c>
      <c r="R20" s="15"/>
      <c r="S20" s="15"/>
      <c r="T20" s="15"/>
      <c r="U20" s="15"/>
      <c r="V20" s="15">
        <f t="shared" si="0"/>
        <v>0</v>
      </c>
      <c r="W20" s="15"/>
      <c r="X20" s="15"/>
      <c r="Y20" s="16">
        <f t="shared" si="1"/>
        <v>0</v>
      </c>
      <c r="Z20" s="17">
        <f>Table4[[#This Row],[Target FOB]]-Table4[[#This Row],[Cost Price]]</f>
        <v>0</v>
      </c>
      <c r="AA20" s="17">
        <f>IFERROR(Table4[[#This Row],[Total SAM]]/$Q$36,0)</f>
        <v>0</v>
      </c>
      <c r="AB20" s="17">
        <f t="shared" si="2"/>
        <v>0</v>
      </c>
      <c r="AC20" s="17">
        <f t="shared" si="19"/>
        <v>0</v>
      </c>
      <c r="AD20" s="17"/>
      <c r="AE20" s="17">
        <v>0</v>
      </c>
      <c r="AF20" s="18">
        <f>Table4[[#This Row],[Provided FOB]]+Table4[[#This Row],[Addition]]</f>
        <v>0</v>
      </c>
      <c r="AG20" s="17">
        <f t="shared" si="3"/>
        <v>0</v>
      </c>
      <c r="AH20" s="19">
        <f t="shared" si="4"/>
        <v>0</v>
      </c>
      <c r="AI20" s="19">
        <f>IFERROR(Table4[[#This Row],[Per Min CM ]]/Table4[[#This Row],[Parity Rate]],0)*100</f>
        <v>0</v>
      </c>
      <c r="AJ20" s="20">
        <f t="shared" si="5"/>
        <v>0</v>
      </c>
      <c r="AK20" s="14">
        <f t="shared" si="6"/>
        <v>0</v>
      </c>
      <c r="AL20" s="15">
        <f t="shared" si="7"/>
        <v>0</v>
      </c>
      <c r="AM20" s="21">
        <f t="shared" si="8"/>
        <v>0</v>
      </c>
      <c r="AN20" s="15"/>
      <c r="AO20" s="21">
        <f t="shared" si="9"/>
        <v>0</v>
      </c>
      <c r="AP20" s="22">
        <f t="shared" si="10"/>
        <v>0</v>
      </c>
      <c r="AQ20" s="22">
        <f t="shared" si="11"/>
        <v>0</v>
      </c>
      <c r="AR20" s="22">
        <f t="shared" si="11"/>
        <v>0</v>
      </c>
      <c r="AS20" s="22">
        <f t="shared" si="12"/>
        <v>0</v>
      </c>
      <c r="AT20" s="22">
        <f t="shared" si="12"/>
        <v>0</v>
      </c>
      <c r="AU20" s="22">
        <f t="shared" si="13"/>
        <v>0</v>
      </c>
      <c r="AV20" s="22">
        <f t="shared" si="14"/>
        <v>0</v>
      </c>
      <c r="AW20" s="22">
        <f t="shared" si="15"/>
        <v>0</v>
      </c>
      <c r="AX20" s="22">
        <f t="shared" si="16"/>
        <v>0</v>
      </c>
      <c r="AY20" s="22">
        <f t="shared" si="16"/>
        <v>0</v>
      </c>
      <c r="AZ20" s="22">
        <f t="shared" si="20"/>
        <v>0</v>
      </c>
      <c r="BA20" s="22">
        <f t="shared" si="21"/>
        <v>0</v>
      </c>
      <c r="BB20" s="22">
        <f>Table4[[#This Row],[OH ]]*Table4[[#This Row],[Qty]]</f>
        <v>0</v>
      </c>
      <c r="BC20" s="22">
        <f>Table4[[#This Row],[Total Contribution]]-Table4[[#This Row],[Overheads]]</f>
        <v>0</v>
      </c>
      <c r="BD20" s="23" t="str">
        <f t="shared" si="17"/>
        <v>NON DENIMFASHION NOVA</v>
      </c>
      <c r="BE20" s="24">
        <f t="shared" si="22"/>
        <v>0</v>
      </c>
      <c r="BG20" s="5"/>
      <c r="BH20" s="24"/>
      <c r="BI20" s="24"/>
    </row>
    <row r="21" spans="1:61" x14ac:dyDescent="0.3">
      <c r="A21" s="12" t="str">
        <f>'Month Wise Sales Qty'!A21</f>
        <v>DEEP</v>
      </c>
      <c r="B21" s="13" t="str">
        <f>'Month Wise Sales Qty'!B21</f>
        <v>DENIM</v>
      </c>
      <c r="C21" s="13"/>
      <c r="D21" s="13" t="str">
        <f>'Month Wise Sales Qty'!C21</f>
        <v>RMIXED</v>
      </c>
      <c r="E21" s="14">
        <f>SUMIFS('Month Wise Sales Qty'!P:P,'Month Wise Sales Qty'!C:C,Table4[[#This Row],[Customer]],'Month Wise Sales Qty'!B:B,Table4[[#This Row],[Wash Type]],'Month Wise Sales Qty'!A:A,Table4[[#This Row],[Team]])</f>
        <v>10000</v>
      </c>
      <c r="F21" s="15"/>
      <c r="G21" s="15"/>
      <c r="H21" s="15">
        <f>Table4[[#This Row],[Fabric Cons]]*Table4[[#This Row],[Fab Price]]</f>
        <v>0</v>
      </c>
      <c r="I21" s="15"/>
      <c r="J21" s="15"/>
      <c r="K21" s="15">
        <f>Table4[[#This Row],[Pocket Cons]]*Table4[[#This Row],[Pocketing Price]]</f>
        <v>0</v>
      </c>
      <c r="L21" s="15"/>
      <c r="M21" s="15"/>
      <c r="N21" s="15"/>
      <c r="O21" s="15"/>
      <c r="P21" s="15"/>
      <c r="Q21" s="14">
        <f t="shared" si="18"/>
        <v>0</v>
      </c>
      <c r="R21" s="15"/>
      <c r="S21" s="15"/>
      <c r="T21" s="15"/>
      <c r="U21" s="15"/>
      <c r="V21" s="15">
        <f t="shared" si="0"/>
        <v>0</v>
      </c>
      <c r="W21" s="15"/>
      <c r="X21" s="15"/>
      <c r="Y21" s="16">
        <f t="shared" si="1"/>
        <v>0</v>
      </c>
      <c r="Z21" s="17">
        <f>Table4[[#This Row],[Target FOB]]-Table4[[#This Row],[Cost Price]]</f>
        <v>0</v>
      </c>
      <c r="AA21" s="17">
        <f>IFERROR(Table4[[#This Row],[Total SAM]]/$Q$36,0)</f>
        <v>0</v>
      </c>
      <c r="AB21" s="17">
        <f t="shared" si="2"/>
        <v>0</v>
      </c>
      <c r="AC21" s="17">
        <f t="shared" si="19"/>
        <v>0</v>
      </c>
      <c r="AD21" s="17"/>
      <c r="AE21" s="17">
        <v>0</v>
      </c>
      <c r="AF21" s="18">
        <f>Table4[[#This Row],[Provided FOB]]+Table4[[#This Row],[Addition]]</f>
        <v>0</v>
      </c>
      <c r="AG21" s="17">
        <f t="shared" si="3"/>
        <v>0</v>
      </c>
      <c r="AH21" s="19">
        <f t="shared" si="4"/>
        <v>0</v>
      </c>
      <c r="AI21" s="19">
        <f>IFERROR(Table4[[#This Row],[Per Min CM ]]/Table4[[#This Row],[Parity Rate]],0)*100</f>
        <v>0</v>
      </c>
      <c r="AJ21" s="20">
        <f t="shared" si="5"/>
        <v>0</v>
      </c>
      <c r="AK21" s="14">
        <f t="shared" si="6"/>
        <v>0</v>
      </c>
      <c r="AL21" s="15">
        <f t="shared" si="7"/>
        <v>0</v>
      </c>
      <c r="AM21" s="21">
        <f t="shared" si="8"/>
        <v>0</v>
      </c>
      <c r="AN21" s="15"/>
      <c r="AO21" s="21">
        <f t="shared" si="9"/>
        <v>0</v>
      </c>
      <c r="AP21" s="22">
        <f t="shared" si="10"/>
        <v>0</v>
      </c>
      <c r="AQ21" s="22">
        <f t="shared" si="11"/>
        <v>0</v>
      </c>
      <c r="AR21" s="22">
        <f t="shared" si="11"/>
        <v>0</v>
      </c>
      <c r="AS21" s="22">
        <f t="shared" si="12"/>
        <v>0</v>
      </c>
      <c r="AT21" s="22">
        <f t="shared" si="12"/>
        <v>0</v>
      </c>
      <c r="AU21" s="22">
        <f t="shared" si="13"/>
        <v>0</v>
      </c>
      <c r="AV21" s="22">
        <f t="shared" si="14"/>
        <v>0</v>
      </c>
      <c r="AW21" s="22">
        <f t="shared" si="15"/>
        <v>0</v>
      </c>
      <c r="AX21" s="22">
        <f t="shared" si="16"/>
        <v>0</v>
      </c>
      <c r="AY21" s="22">
        <f t="shared" si="16"/>
        <v>0</v>
      </c>
      <c r="AZ21" s="22">
        <f t="shared" si="20"/>
        <v>0</v>
      </c>
      <c r="BA21" s="22">
        <f t="shared" si="21"/>
        <v>0</v>
      </c>
      <c r="BB21" s="22">
        <f>Table4[[#This Row],[OH ]]*Table4[[#This Row],[Qty]]</f>
        <v>0</v>
      </c>
      <c r="BC21" s="22">
        <f>Table4[[#This Row],[Total Contribution]]-Table4[[#This Row],[Overheads]]</f>
        <v>0</v>
      </c>
      <c r="BD21" s="23" t="str">
        <f t="shared" si="17"/>
        <v>DENIMRMIXED</v>
      </c>
      <c r="BE21" s="24">
        <f>AJ21-BA21</f>
        <v>0</v>
      </c>
      <c r="BG21" s="5"/>
      <c r="BH21" s="24"/>
      <c r="BI21" s="24"/>
    </row>
    <row r="22" spans="1:61" x14ac:dyDescent="0.3">
      <c r="A22" s="12" t="str">
        <f>'Month Wise Sales Qty'!A22</f>
        <v>DEEP</v>
      </c>
      <c r="B22" s="13" t="str">
        <f>'Month Wise Sales Qty'!B22</f>
        <v>NON DENIM</v>
      </c>
      <c r="C22" s="13"/>
      <c r="D22" s="13" t="str">
        <f>'Month Wise Sales Qty'!C22</f>
        <v>SCANDIC</v>
      </c>
      <c r="E22" s="14">
        <f>SUMIFS('Month Wise Sales Qty'!P:P,'Month Wise Sales Qty'!C:C,Table4[[#This Row],[Customer]],'Month Wise Sales Qty'!B:B,Table4[[#This Row],[Wash Type]],'Month Wise Sales Qty'!A:A,Table4[[#This Row],[Team]])</f>
        <v>55000</v>
      </c>
      <c r="F22" s="15"/>
      <c r="G22" s="15"/>
      <c r="H22" s="15">
        <f>Table4[[#This Row],[Fabric Cons]]*Table4[[#This Row],[Fab Price]]</f>
        <v>0</v>
      </c>
      <c r="I22" s="15"/>
      <c r="J22" s="15"/>
      <c r="K22" s="15">
        <f>Table4[[#This Row],[Pocket Cons]]*Table4[[#This Row],[Pocketing Price]]</f>
        <v>0</v>
      </c>
      <c r="L22" s="15"/>
      <c r="M22" s="15"/>
      <c r="N22" s="15"/>
      <c r="O22" s="15"/>
      <c r="P22" s="15"/>
      <c r="Q22" s="14">
        <f t="shared" si="18"/>
        <v>0</v>
      </c>
      <c r="R22" s="15"/>
      <c r="S22" s="15"/>
      <c r="T22" s="15"/>
      <c r="U22" s="15"/>
      <c r="V22" s="15">
        <f t="shared" si="0"/>
        <v>0</v>
      </c>
      <c r="W22" s="15"/>
      <c r="X22" s="15"/>
      <c r="Y22" s="16">
        <f t="shared" si="1"/>
        <v>0</v>
      </c>
      <c r="Z22" s="17">
        <f>Table4[[#This Row],[Target FOB]]-Table4[[#This Row],[Cost Price]]</f>
        <v>0</v>
      </c>
      <c r="AA22" s="17">
        <f>IFERROR(Table4[[#This Row],[Total SAM]]/$Q$36,0)</f>
        <v>0</v>
      </c>
      <c r="AB22" s="17">
        <f t="shared" si="2"/>
        <v>0</v>
      </c>
      <c r="AC22" s="17">
        <f t="shared" si="19"/>
        <v>0</v>
      </c>
      <c r="AD22" s="17"/>
      <c r="AE22" s="17">
        <v>0</v>
      </c>
      <c r="AF22" s="18">
        <f>Table4[[#This Row],[Provided FOB]]+Table4[[#This Row],[Addition]]</f>
        <v>0</v>
      </c>
      <c r="AG22" s="17">
        <f t="shared" si="3"/>
        <v>0</v>
      </c>
      <c r="AH22" s="19">
        <f t="shared" si="4"/>
        <v>0</v>
      </c>
      <c r="AI22" s="19">
        <f>IFERROR(Table4[[#This Row],[Per Min CM ]]/Table4[[#This Row],[Parity Rate]],0)*100</f>
        <v>0</v>
      </c>
      <c r="AJ22" s="20">
        <f t="shared" si="5"/>
        <v>0</v>
      </c>
      <c r="AK22" s="14">
        <f t="shared" si="6"/>
        <v>0</v>
      </c>
      <c r="AL22" s="15">
        <f t="shared" si="7"/>
        <v>0</v>
      </c>
      <c r="AM22" s="21">
        <f t="shared" si="8"/>
        <v>0</v>
      </c>
      <c r="AN22" s="15"/>
      <c r="AO22" s="21">
        <f t="shared" si="9"/>
        <v>0</v>
      </c>
      <c r="AP22" s="22">
        <f t="shared" si="10"/>
        <v>0</v>
      </c>
      <c r="AQ22" s="22">
        <f t="shared" si="11"/>
        <v>0</v>
      </c>
      <c r="AR22" s="22">
        <f t="shared" si="11"/>
        <v>0</v>
      </c>
      <c r="AS22" s="22">
        <f t="shared" si="12"/>
        <v>0</v>
      </c>
      <c r="AT22" s="22">
        <f t="shared" si="12"/>
        <v>0</v>
      </c>
      <c r="AU22" s="22">
        <f t="shared" si="13"/>
        <v>0</v>
      </c>
      <c r="AV22" s="22">
        <f t="shared" si="14"/>
        <v>0</v>
      </c>
      <c r="AW22" s="22">
        <f t="shared" si="15"/>
        <v>0</v>
      </c>
      <c r="AX22" s="22">
        <f t="shared" ref="AX22:AY34" si="23">$E22*W22</f>
        <v>0</v>
      </c>
      <c r="AY22" s="22">
        <f t="shared" si="23"/>
        <v>0</v>
      </c>
      <c r="AZ22" s="22">
        <f t="shared" si="20"/>
        <v>0</v>
      </c>
      <c r="BA22" s="22">
        <f t="shared" si="21"/>
        <v>0</v>
      </c>
      <c r="BB22" s="22">
        <f>Table4[[#This Row],[OH ]]*Table4[[#This Row],[Qty]]</f>
        <v>0</v>
      </c>
      <c r="BC22" s="22">
        <f>Table4[[#This Row],[Total Contribution]]-Table4[[#This Row],[Overheads]]</f>
        <v>0</v>
      </c>
      <c r="BD22" s="23" t="str">
        <f t="shared" si="17"/>
        <v>NON DENIMSCANDIC</v>
      </c>
      <c r="BE22" s="24">
        <f t="shared" ref="BE22:BE34" si="24">AJ22-BA22</f>
        <v>0</v>
      </c>
      <c r="BG22" s="5"/>
      <c r="BH22" s="24"/>
      <c r="BI22" s="24"/>
    </row>
    <row r="23" spans="1:61" x14ac:dyDescent="0.3">
      <c r="A23" s="12" t="str">
        <f>'Month Wise Sales Qty'!A23</f>
        <v>DEEP</v>
      </c>
      <c r="B23" s="13" t="str">
        <f>'Month Wise Sales Qty'!B23</f>
        <v>DENIM</v>
      </c>
      <c r="C23" s="13"/>
      <c r="D23" s="13" t="str">
        <f>'Month Wise Sales Qty'!C23</f>
        <v>SCANDIC</v>
      </c>
      <c r="E23" s="14">
        <f>SUMIFS('Month Wise Sales Qty'!P:P,'Month Wise Sales Qty'!C:C,Table4[[#This Row],[Customer]],'Month Wise Sales Qty'!B:B,Table4[[#This Row],[Wash Type]],'Month Wise Sales Qty'!A:A,Table4[[#This Row],[Team]])</f>
        <v>55000</v>
      </c>
      <c r="F23" s="15"/>
      <c r="G23" s="15"/>
      <c r="H23" s="15">
        <f>Table4[[#This Row],[Fabric Cons]]*Table4[[#This Row],[Fab Price]]</f>
        <v>0</v>
      </c>
      <c r="I23" s="15"/>
      <c r="J23" s="15"/>
      <c r="K23" s="15">
        <f>Table4[[#This Row],[Pocket Cons]]*Table4[[#This Row],[Pocketing Price]]</f>
        <v>0</v>
      </c>
      <c r="L23" s="15"/>
      <c r="M23" s="15"/>
      <c r="N23" s="15"/>
      <c r="O23" s="15"/>
      <c r="P23" s="15"/>
      <c r="Q23" s="14">
        <f t="shared" si="18"/>
        <v>0</v>
      </c>
      <c r="R23" s="15"/>
      <c r="S23" s="15"/>
      <c r="T23" s="15"/>
      <c r="U23" s="15"/>
      <c r="V23" s="15">
        <f t="shared" si="0"/>
        <v>0</v>
      </c>
      <c r="W23" s="15"/>
      <c r="X23" s="15"/>
      <c r="Y23" s="16">
        <f t="shared" si="1"/>
        <v>0</v>
      </c>
      <c r="Z23" s="17">
        <f>Table4[[#This Row],[Target FOB]]-Table4[[#This Row],[Cost Price]]</f>
        <v>0</v>
      </c>
      <c r="AA23" s="17">
        <f>IFERROR(Table4[[#This Row],[Total SAM]]/$Q$36,0)</f>
        <v>0</v>
      </c>
      <c r="AB23" s="17">
        <f t="shared" si="2"/>
        <v>0</v>
      </c>
      <c r="AC23" s="17">
        <f t="shared" si="19"/>
        <v>0</v>
      </c>
      <c r="AD23" s="17"/>
      <c r="AE23" s="17">
        <v>0</v>
      </c>
      <c r="AF23" s="18">
        <f>Table4[[#This Row],[Provided FOB]]+Table4[[#This Row],[Addition]]</f>
        <v>0</v>
      </c>
      <c r="AG23" s="17">
        <f t="shared" si="3"/>
        <v>0</v>
      </c>
      <c r="AH23" s="19">
        <f t="shared" si="4"/>
        <v>0</v>
      </c>
      <c r="AI23" s="19">
        <f>IFERROR(Table4[[#This Row],[Per Min CM ]]/Table4[[#This Row],[Parity Rate]],0)*100</f>
        <v>0</v>
      </c>
      <c r="AJ23" s="20">
        <f t="shared" si="5"/>
        <v>0</v>
      </c>
      <c r="AK23" s="14">
        <f t="shared" si="6"/>
        <v>0</v>
      </c>
      <c r="AL23" s="15">
        <f t="shared" si="7"/>
        <v>0</v>
      </c>
      <c r="AM23" s="21">
        <f t="shared" si="8"/>
        <v>0</v>
      </c>
      <c r="AN23" s="15"/>
      <c r="AO23" s="21">
        <f t="shared" si="9"/>
        <v>0</v>
      </c>
      <c r="AP23" s="22">
        <f t="shared" si="10"/>
        <v>0</v>
      </c>
      <c r="AQ23" s="22">
        <f t="shared" si="11"/>
        <v>0</v>
      </c>
      <c r="AR23" s="22">
        <f t="shared" si="11"/>
        <v>0</v>
      </c>
      <c r="AS23" s="22">
        <f t="shared" si="12"/>
        <v>0</v>
      </c>
      <c r="AT23" s="22">
        <f t="shared" si="12"/>
        <v>0</v>
      </c>
      <c r="AU23" s="22">
        <f t="shared" si="13"/>
        <v>0</v>
      </c>
      <c r="AV23" s="22">
        <f t="shared" si="14"/>
        <v>0</v>
      </c>
      <c r="AW23" s="22">
        <f t="shared" si="15"/>
        <v>0</v>
      </c>
      <c r="AX23" s="22">
        <f t="shared" si="23"/>
        <v>0</v>
      </c>
      <c r="AY23" s="22">
        <f t="shared" si="23"/>
        <v>0</v>
      </c>
      <c r="AZ23" s="22">
        <f t="shared" si="20"/>
        <v>0</v>
      </c>
      <c r="BA23" s="22">
        <f t="shared" si="21"/>
        <v>0</v>
      </c>
      <c r="BB23" s="22">
        <f>Table4[[#This Row],[OH ]]*Table4[[#This Row],[Qty]]</f>
        <v>0</v>
      </c>
      <c r="BC23" s="22">
        <f>Table4[[#This Row],[Total Contribution]]-Table4[[#This Row],[Overheads]]</f>
        <v>0</v>
      </c>
      <c r="BD23" s="23" t="str">
        <f t="shared" si="17"/>
        <v>DENIMSCANDIC</v>
      </c>
      <c r="BE23" s="24">
        <f t="shared" si="24"/>
        <v>0</v>
      </c>
      <c r="BG23" s="5"/>
      <c r="BH23" s="24"/>
      <c r="BI23" s="24"/>
    </row>
    <row r="24" spans="1:61" x14ac:dyDescent="0.3">
      <c r="A24" s="12" t="str">
        <f>'Month Wise Sales Qty'!A24</f>
        <v>DEEP</v>
      </c>
      <c r="B24" s="13" t="str">
        <f>'Month Wise Sales Qty'!B24</f>
        <v>DENIM</v>
      </c>
      <c r="C24" s="13"/>
      <c r="D24" s="13" t="str">
        <f>'Month Wise Sales Qty'!C24</f>
        <v>INDITEX</v>
      </c>
      <c r="E24" s="14">
        <f>SUMIFS('Month Wise Sales Qty'!P:P,'Month Wise Sales Qty'!C:C,Table4[[#This Row],[Customer]],'Month Wise Sales Qty'!B:B,Table4[[#This Row],[Wash Type]],'Month Wise Sales Qty'!A:A,Table4[[#This Row],[Team]])</f>
        <v>105000</v>
      </c>
      <c r="F24" s="15"/>
      <c r="G24" s="15"/>
      <c r="H24" s="15">
        <f>Table4[[#This Row],[Fabric Cons]]*Table4[[#This Row],[Fab Price]]</f>
        <v>0</v>
      </c>
      <c r="I24" s="15"/>
      <c r="J24" s="15"/>
      <c r="K24" s="15">
        <f>Table4[[#This Row],[Pocket Cons]]*Table4[[#This Row],[Pocketing Price]]</f>
        <v>0</v>
      </c>
      <c r="L24" s="15"/>
      <c r="M24" s="15"/>
      <c r="N24" s="15"/>
      <c r="O24" s="15"/>
      <c r="P24" s="15"/>
      <c r="Q24" s="14">
        <f t="shared" si="18"/>
        <v>0</v>
      </c>
      <c r="R24" s="15"/>
      <c r="S24" s="15"/>
      <c r="T24" s="15"/>
      <c r="U24" s="15"/>
      <c r="V24" s="15">
        <f t="shared" si="0"/>
        <v>0</v>
      </c>
      <c r="W24" s="15"/>
      <c r="X24" s="15"/>
      <c r="Y24" s="16">
        <f t="shared" si="1"/>
        <v>0</v>
      </c>
      <c r="Z24" s="17">
        <f>Table4[[#This Row],[Target FOB]]-Table4[[#This Row],[Cost Price]]</f>
        <v>0</v>
      </c>
      <c r="AA24" s="17">
        <f>IFERROR(Table4[[#This Row],[Total SAM]]/$Q$36,0)</f>
        <v>0</v>
      </c>
      <c r="AB24" s="17">
        <f t="shared" si="2"/>
        <v>0</v>
      </c>
      <c r="AC24" s="17">
        <f t="shared" si="19"/>
        <v>0</v>
      </c>
      <c r="AD24" s="17"/>
      <c r="AE24" s="17">
        <v>0</v>
      </c>
      <c r="AF24" s="18">
        <f>Table4[[#This Row],[Provided FOB]]+Table4[[#This Row],[Addition]]</f>
        <v>0</v>
      </c>
      <c r="AG24" s="17">
        <f t="shared" si="3"/>
        <v>0</v>
      </c>
      <c r="AH24" s="19">
        <f t="shared" si="4"/>
        <v>0</v>
      </c>
      <c r="AI24" s="19">
        <f>IFERROR(Table4[[#This Row],[Per Min CM ]]/Table4[[#This Row],[Parity Rate]],0)*100</f>
        <v>0</v>
      </c>
      <c r="AJ24" s="20">
        <f t="shared" si="5"/>
        <v>0</v>
      </c>
      <c r="AK24" s="14">
        <f t="shared" si="6"/>
        <v>0</v>
      </c>
      <c r="AL24" s="15">
        <f t="shared" si="7"/>
        <v>0</v>
      </c>
      <c r="AM24" s="21">
        <f t="shared" si="8"/>
        <v>0</v>
      </c>
      <c r="AN24" s="15"/>
      <c r="AO24" s="21">
        <f t="shared" si="9"/>
        <v>0</v>
      </c>
      <c r="AP24" s="22">
        <f t="shared" si="10"/>
        <v>0</v>
      </c>
      <c r="AQ24" s="22">
        <f t="shared" si="11"/>
        <v>0</v>
      </c>
      <c r="AR24" s="22">
        <f t="shared" si="11"/>
        <v>0</v>
      </c>
      <c r="AS24" s="22">
        <f t="shared" si="12"/>
        <v>0</v>
      </c>
      <c r="AT24" s="22">
        <f t="shared" si="12"/>
        <v>0</v>
      </c>
      <c r="AU24" s="22">
        <f t="shared" si="13"/>
        <v>0</v>
      </c>
      <c r="AV24" s="22">
        <f t="shared" si="14"/>
        <v>0</v>
      </c>
      <c r="AW24" s="22">
        <f t="shared" si="15"/>
        <v>0</v>
      </c>
      <c r="AX24" s="22">
        <f t="shared" si="23"/>
        <v>0</v>
      </c>
      <c r="AY24" s="22">
        <f t="shared" si="23"/>
        <v>0</v>
      </c>
      <c r="AZ24" s="22">
        <f t="shared" si="20"/>
        <v>0</v>
      </c>
      <c r="BA24" s="22">
        <f t="shared" si="21"/>
        <v>0</v>
      </c>
      <c r="BB24" s="22">
        <f>Table4[[#This Row],[OH ]]*Table4[[#This Row],[Qty]]</f>
        <v>0</v>
      </c>
      <c r="BC24" s="22">
        <f>Table4[[#This Row],[Total Contribution]]-Table4[[#This Row],[Overheads]]</f>
        <v>0</v>
      </c>
      <c r="BD24" s="23" t="str">
        <f t="shared" si="17"/>
        <v>DENIMINDITEX</v>
      </c>
      <c r="BE24" s="24">
        <f t="shared" si="24"/>
        <v>0</v>
      </c>
      <c r="BG24" s="5"/>
      <c r="BH24" s="24"/>
      <c r="BI24" s="24"/>
    </row>
    <row r="25" spans="1:61" x14ac:dyDescent="0.3">
      <c r="A25" s="12" t="str">
        <f>'Month Wise Sales Qty'!A25</f>
        <v>DEEP</v>
      </c>
      <c r="B25" s="13" t="str">
        <f>'Month Wise Sales Qty'!B25</f>
        <v>DENIM</v>
      </c>
      <c r="C25" s="13"/>
      <c r="D25" s="13" t="str">
        <f>'Month Wise Sales Qty'!C25</f>
        <v>UK MKT</v>
      </c>
      <c r="E25" s="14">
        <f>SUMIFS('Month Wise Sales Qty'!P:P,'Month Wise Sales Qty'!C:C,Table4[[#This Row],[Customer]],'Month Wise Sales Qty'!B:B,Table4[[#This Row],[Wash Type]],'Month Wise Sales Qty'!A:A,Table4[[#This Row],[Team]])</f>
        <v>105000</v>
      </c>
      <c r="F25" s="15"/>
      <c r="G25" s="15"/>
      <c r="H25" s="15">
        <f>Table4[[#This Row],[Fabric Cons]]*Table4[[#This Row],[Fab Price]]</f>
        <v>0</v>
      </c>
      <c r="I25" s="15"/>
      <c r="J25" s="15"/>
      <c r="K25" s="15">
        <f>Table4[[#This Row],[Pocket Cons]]*Table4[[#This Row],[Pocketing Price]]</f>
        <v>0</v>
      </c>
      <c r="L25" s="15"/>
      <c r="M25" s="15"/>
      <c r="N25" s="15"/>
      <c r="O25" s="15"/>
      <c r="P25" s="15"/>
      <c r="Q25" s="14">
        <f t="shared" si="18"/>
        <v>0</v>
      </c>
      <c r="R25" s="15"/>
      <c r="S25" s="15"/>
      <c r="T25" s="15"/>
      <c r="U25" s="15"/>
      <c r="V25" s="15">
        <f t="shared" si="0"/>
        <v>0</v>
      </c>
      <c r="W25" s="15"/>
      <c r="X25" s="15"/>
      <c r="Y25" s="16">
        <f t="shared" si="1"/>
        <v>0</v>
      </c>
      <c r="Z25" s="17">
        <f>Table4[[#This Row],[Target FOB]]-Table4[[#This Row],[Cost Price]]</f>
        <v>0</v>
      </c>
      <c r="AA25" s="17">
        <f>IFERROR(Table4[[#This Row],[Total SAM]]/$Q$36,0)</f>
        <v>0</v>
      </c>
      <c r="AB25" s="17">
        <f t="shared" si="2"/>
        <v>0</v>
      </c>
      <c r="AC25" s="17">
        <f t="shared" si="19"/>
        <v>0</v>
      </c>
      <c r="AD25" s="17"/>
      <c r="AE25" s="17">
        <v>0</v>
      </c>
      <c r="AF25" s="18">
        <f>Table4[[#This Row],[Provided FOB]]+Table4[[#This Row],[Addition]]</f>
        <v>0</v>
      </c>
      <c r="AG25" s="17">
        <f t="shared" si="3"/>
        <v>0</v>
      </c>
      <c r="AH25" s="19">
        <f t="shared" si="4"/>
        <v>0</v>
      </c>
      <c r="AI25" s="19">
        <f>IFERROR(Table4[[#This Row],[Per Min CM ]]/Table4[[#This Row],[Parity Rate]],0)*100</f>
        <v>0</v>
      </c>
      <c r="AJ25" s="20">
        <f t="shared" si="5"/>
        <v>0</v>
      </c>
      <c r="AK25" s="14">
        <f t="shared" si="6"/>
        <v>0</v>
      </c>
      <c r="AL25" s="15">
        <f t="shared" si="7"/>
        <v>0</v>
      </c>
      <c r="AM25" s="21">
        <f t="shared" si="8"/>
        <v>0</v>
      </c>
      <c r="AN25" s="15"/>
      <c r="AO25" s="21">
        <f t="shared" si="9"/>
        <v>0</v>
      </c>
      <c r="AP25" s="22">
        <f t="shared" si="10"/>
        <v>0</v>
      </c>
      <c r="AQ25" s="22">
        <f t="shared" si="11"/>
        <v>0</v>
      </c>
      <c r="AR25" s="22">
        <f t="shared" si="11"/>
        <v>0</v>
      </c>
      <c r="AS25" s="22">
        <f t="shared" si="12"/>
        <v>0</v>
      </c>
      <c r="AT25" s="22">
        <f t="shared" si="12"/>
        <v>0</v>
      </c>
      <c r="AU25" s="22">
        <f t="shared" si="13"/>
        <v>0</v>
      </c>
      <c r="AV25" s="22">
        <f t="shared" si="14"/>
        <v>0</v>
      </c>
      <c r="AW25" s="22">
        <f t="shared" si="15"/>
        <v>0</v>
      </c>
      <c r="AX25" s="22">
        <f t="shared" si="23"/>
        <v>0</v>
      </c>
      <c r="AY25" s="22">
        <f t="shared" si="23"/>
        <v>0</v>
      </c>
      <c r="AZ25" s="22">
        <f t="shared" si="20"/>
        <v>0</v>
      </c>
      <c r="BA25" s="22">
        <f t="shared" si="21"/>
        <v>0</v>
      </c>
      <c r="BB25" s="22">
        <f>Table4[[#This Row],[OH ]]*Table4[[#This Row],[Qty]]</f>
        <v>0</v>
      </c>
      <c r="BC25" s="22">
        <f>Table4[[#This Row],[Total Contribution]]-Table4[[#This Row],[Overheads]]</f>
        <v>0</v>
      </c>
      <c r="BD25" s="23" t="str">
        <f t="shared" si="17"/>
        <v>DENIMUK MKT</v>
      </c>
      <c r="BE25" s="24">
        <f t="shared" si="24"/>
        <v>0</v>
      </c>
      <c r="BG25" s="5"/>
      <c r="BH25" s="24"/>
      <c r="BI25" s="24"/>
    </row>
    <row r="26" spans="1:61" x14ac:dyDescent="0.3">
      <c r="A26" s="12" t="str">
        <f>'Month Wise Sales Qty'!A26</f>
        <v>RASHID</v>
      </c>
      <c r="B26" s="13" t="str">
        <f>'Month Wise Sales Qty'!B26</f>
        <v>DENIM</v>
      </c>
      <c r="C26" s="13"/>
      <c r="D26" s="13" t="str">
        <f>'Month Wise Sales Qty'!C26</f>
        <v>KIABI MEN</v>
      </c>
      <c r="E26" s="14">
        <f>SUMIFS('Month Wise Sales Qty'!P:P,'Month Wise Sales Qty'!C:C,Table4[[#This Row],[Customer]],'Month Wise Sales Qty'!B:B,Table4[[#This Row],[Wash Type]],'Month Wise Sales Qty'!A:A,Table4[[#This Row],[Team]])</f>
        <v>60000</v>
      </c>
      <c r="F26" s="15"/>
      <c r="G26" s="15"/>
      <c r="H26" s="15">
        <f>Table4[[#This Row],[Fabric Cons]]*Table4[[#This Row],[Fab Price]]</f>
        <v>0</v>
      </c>
      <c r="I26" s="15"/>
      <c r="J26" s="15"/>
      <c r="K26" s="15">
        <f>Table4[[#This Row],[Pocket Cons]]*Table4[[#This Row],[Pocketing Price]]</f>
        <v>0</v>
      </c>
      <c r="L26" s="15"/>
      <c r="M26" s="15"/>
      <c r="N26" s="15"/>
      <c r="O26" s="15"/>
      <c r="P26" s="15"/>
      <c r="Q26" s="14">
        <f t="shared" si="18"/>
        <v>0</v>
      </c>
      <c r="R26" s="15"/>
      <c r="S26" s="15"/>
      <c r="T26" s="15"/>
      <c r="U26" s="15"/>
      <c r="V26" s="15">
        <f t="shared" si="0"/>
        <v>0</v>
      </c>
      <c r="W26" s="15"/>
      <c r="X26" s="15"/>
      <c r="Y26" s="16">
        <f t="shared" si="1"/>
        <v>0</v>
      </c>
      <c r="Z26" s="17">
        <f>Table4[[#This Row],[Target FOB]]-Table4[[#This Row],[Cost Price]]</f>
        <v>0</v>
      </c>
      <c r="AA26" s="17">
        <f>IFERROR(Table4[[#This Row],[Total SAM]]/$Q$36,0)</f>
        <v>0</v>
      </c>
      <c r="AB26" s="17">
        <f t="shared" si="2"/>
        <v>0</v>
      </c>
      <c r="AC26" s="17">
        <f t="shared" si="19"/>
        <v>0</v>
      </c>
      <c r="AD26" s="17"/>
      <c r="AE26" s="17">
        <v>0</v>
      </c>
      <c r="AF26" s="18">
        <f>Table4[[#This Row],[Provided FOB]]+Table4[[#This Row],[Addition]]</f>
        <v>0</v>
      </c>
      <c r="AG26" s="17">
        <f t="shared" si="3"/>
        <v>0</v>
      </c>
      <c r="AH26" s="19">
        <f t="shared" si="4"/>
        <v>0</v>
      </c>
      <c r="AI26" s="19">
        <f>IFERROR(Table4[[#This Row],[Per Min CM ]]/Table4[[#This Row],[Parity Rate]],0)*100</f>
        <v>0</v>
      </c>
      <c r="AJ26" s="20">
        <f t="shared" si="5"/>
        <v>0</v>
      </c>
      <c r="AK26" s="14">
        <f t="shared" si="6"/>
        <v>0</v>
      </c>
      <c r="AL26" s="15">
        <f t="shared" si="7"/>
        <v>0</v>
      </c>
      <c r="AM26" s="21">
        <f t="shared" si="8"/>
        <v>0</v>
      </c>
      <c r="AN26" s="15"/>
      <c r="AO26" s="21">
        <f t="shared" si="9"/>
        <v>0</v>
      </c>
      <c r="AP26" s="22">
        <f t="shared" si="10"/>
        <v>0</v>
      </c>
      <c r="AQ26" s="22">
        <f t="shared" si="11"/>
        <v>0</v>
      </c>
      <c r="AR26" s="22">
        <f t="shared" si="11"/>
        <v>0</v>
      </c>
      <c r="AS26" s="22">
        <f t="shared" si="12"/>
        <v>0</v>
      </c>
      <c r="AT26" s="22">
        <f t="shared" si="12"/>
        <v>0</v>
      </c>
      <c r="AU26" s="22">
        <f t="shared" si="13"/>
        <v>0</v>
      </c>
      <c r="AV26" s="22">
        <f t="shared" si="14"/>
        <v>0</v>
      </c>
      <c r="AW26" s="22">
        <f t="shared" si="15"/>
        <v>0</v>
      </c>
      <c r="AX26" s="22">
        <f t="shared" si="23"/>
        <v>0</v>
      </c>
      <c r="AY26" s="22">
        <f t="shared" si="23"/>
        <v>0</v>
      </c>
      <c r="AZ26" s="22">
        <f t="shared" si="20"/>
        <v>0</v>
      </c>
      <c r="BA26" s="22">
        <f t="shared" si="21"/>
        <v>0</v>
      </c>
      <c r="BB26" s="22">
        <f>Table4[[#This Row],[OH ]]*Table4[[#This Row],[Qty]]</f>
        <v>0</v>
      </c>
      <c r="BC26" s="22">
        <f>Table4[[#This Row],[Total Contribution]]-Table4[[#This Row],[Overheads]]</f>
        <v>0</v>
      </c>
      <c r="BD26" s="23" t="str">
        <f t="shared" si="17"/>
        <v>DENIMKIABI MEN</v>
      </c>
      <c r="BE26" s="24">
        <f t="shared" si="24"/>
        <v>0</v>
      </c>
      <c r="BG26" s="5"/>
      <c r="BH26" s="24"/>
      <c r="BI26" s="24"/>
    </row>
    <row r="27" spans="1:61" x14ac:dyDescent="0.3">
      <c r="A27" s="12" t="str">
        <f>'Month Wise Sales Qty'!A27</f>
        <v>RASHID</v>
      </c>
      <c r="B27" s="13" t="str">
        <f>'Month Wise Sales Qty'!B27</f>
        <v>NON DENIM</v>
      </c>
      <c r="C27" s="13"/>
      <c r="D27" s="13" t="str">
        <f>'Month Wise Sales Qty'!C27</f>
        <v>KIABI MEN</v>
      </c>
      <c r="E27" s="14">
        <f>SUMIFS('Month Wise Sales Qty'!P:P,'Month Wise Sales Qty'!C:C,Table4[[#This Row],[Customer]],'Month Wise Sales Qty'!B:B,Table4[[#This Row],[Wash Type]],'Month Wise Sales Qty'!A:A,Table4[[#This Row],[Team]])</f>
        <v>387000</v>
      </c>
      <c r="F27" s="15"/>
      <c r="G27" s="15"/>
      <c r="H27" s="15">
        <f>Table4[[#This Row],[Fabric Cons]]*Table4[[#This Row],[Fab Price]]</f>
        <v>0</v>
      </c>
      <c r="I27" s="15"/>
      <c r="J27" s="15"/>
      <c r="K27" s="15">
        <f>Table4[[#This Row],[Pocket Cons]]*Table4[[#This Row],[Pocketing Price]]</f>
        <v>0</v>
      </c>
      <c r="L27" s="15"/>
      <c r="M27" s="15"/>
      <c r="N27" s="15"/>
      <c r="O27" s="15"/>
      <c r="P27" s="15"/>
      <c r="Q27" s="14">
        <f t="shared" si="18"/>
        <v>0</v>
      </c>
      <c r="R27" s="15"/>
      <c r="S27" s="15"/>
      <c r="T27" s="15"/>
      <c r="U27" s="15"/>
      <c r="V27" s="15">
        <f t="shared" si="0"/>
        <v>0</v>
      </c>
      <c r="W27" s="15"/>
      <c r="X27" s="15"/>
      <c r="Y27" s="16">
        <f t="shared" si="1"/>
        <v>0</v>
      </c>
      <c r="Z27" s="17">
        <f>Table4[[#This Row],[Target FOB]]-Table4[[#This Row],[Cost Price]]</f>
        <v>0</v>
      </c>
      <c r="AA27" s="17">
        <f>IFERROR(Table4[[#This Row],[Total SAM]]/$Q$36,0)</f>
        <v>0</v>
      </c>
      <c r="AB27" s="17">
        <f t="shared" si="2"/>
        <v>0</v>
      </c>
      <c r="AC27" s="17">
        <f t="shared" si="19"/>
        <v>0</v>
      </c>
      <c r="AD27" s="17"/>
      <c r="AE27" s="17">
        <v>0</v>
      </c>
      <c r="AF27" s="18">
        <f>Table4[[#This Row],[Provided FOB]]+Table4[[#This Row],[Addition]]</f>
        <v>0</v>
      </c>
      <c r="AG27" s="17">
        <f t="shared" si="3"/>
        <v>0</v>
      </c>
      <c r="AH27" s="19">
        <f t="shared" si="4"/>
        <v>0</v>
      </c>
      <c r="AI27" s="19">
        <f>IFERROR(Table4[[#This Row],[Per Min CM ]]/Table4[[#This Row],[Parity Rate]],0)*100</f>
        <v>0</v>
      </c>
      <c r="AJ27" s="20">
        <f t="shared" si="5"/>
        <v>0</v>
      </c>
      <c r="AK27" s="14">
        <f t="shared" si="6"/>
        <v>0</v>
      </c>
      <c r="AL27" s="15">
        <f t="shared" si="7"/>
        <v>0</v>
      </c>
      <c r="AM27" s="21">
        <f t="shared" si="8"/>
        <v>0</v>
      </c>
      <c r="AN27" s="15"/>
      <c r="AO27" s="21">
        <f t="shared" si="9"/>
        <v>0</v>
      </c>
      <c r="AP27" s="22">
        <f t="shared" si="10"/>
        <v>0</v>
      </c>
      <c r="AQ27" s="22">
        <f t="shared" si="11"/>
        <v>0</v>
      </c>
      <c r="AR27" s="22">
        <f t="shared" si="11"/>
        <v>0</v>
      </c>
      <c r="AS27" s="22">
        <f t="shared" si="12"/>
        <v>0</v>
      </c>
      <c r="AT27" s="22">
        <f t="shared" si="12"/>
        <v>0</v>
      </c>
      <c r="AU27" s="22">
        <f t="shared" si="13"/>
        <v>0</v>
      </c>
      <c r="AV27" s="22">
        <f t="shared" si="14"/>
        <v>0</v>
      </c>
      <c r="AW27" s="22">
        <f t="shared" si="15"/>
        <v>0</v>
      </c>
      <c r="AX27" s="22">
        <f t="shared" si="23"/>
        <v>0</v>
      </c>
      <c r="AY27" s="22">
        <f t="shared" si="23"/>
        <v>0</v>
      </c>
      <c r="AZ27" s="22">
        <f t="shared" si="20"/>
        <v>0</v>
      </c>
      <c r="BA27" s="22">
        <f t="shared" si="21"/>
        <v>0</v>
      </c>
      <c r="BB27" s="22">
        <f>Table4[[#This Row],[OH ]]*Table4[[#This Row],[Qty]]</f>
        <v>0</v>
      </c>
      <c r="BC27" s="22">
        <f>Table4[[#This Row],[Total Contribution]]-Table4[[#This Row],[Overheads]]</f>
        <v>0</v>
      </c>
      <c r="BD27" s="23" t="str">
        <f t="shared" si="17"/>
        <v>NON DENIMKIABI MEN</v>
      </c>
      <c r="BE27" s="24">
        <f t="shared" si="24"/>
        <v>0</v>
      </c>
      <c r="BG27" s="5"/>
      <c r="BH27" s="24"/>
      <c r="BI27" s="24"/>
    </row>
    <row r="28" spans="1:61" x14ac:dyDescent="0.3">
      <c r="A28" s="12" t="str">
        <f>'Month Wise Sales Qty'!A28</f>
        <v>RASHID</v>
      </c>
      <c r="B28" s="13" t="str">
        <f>'Month Wise Sales Qty'!B28</f>
        <v>NON DENIM</v>
      </c>
      <c r="C28" s="13"/>
      <c r="D28" s="13" t="str">
        <f>'Month Wise Sales Qty'!C28</f>
        <v>KIABI KIDS</v>
      </c>
      <c r="E28" s="14">
        <f>SUMIFS('Month Wise Sales Qty'!P:P,'Month Wise Sales Qty'!C:C,Table4[[#This Row],[Customer]],'Month Wise Sales Qty'!B:B,Table4[[#This Row],[Wash Type]],'Month Wise Sales Qty'!A:A,Table4[[#This Row],[Team]])</f>
        <v>823000</v>
      </c>
      <c r="F28" s="15"/>
      <c r="G28" s="15"/>
      <c r="H28" s="15">
        <f>Table4[[#This Row],[Fabric Cons]]*Table4[[#This Row],[Fab Price]]</f>
        <v>0</v>
      </c>
      <c r="I28" s="15"/>
      <c r="J28" s="15"/>
      <c r="K28" s="15">
        <f>Table4[[#This Row],[Pocket Cons]]*Table4[[#This Row],[Pocketing Price]]</f>
        <v>0</v>
      </c>
      <c r="L28" s="15"/>
      <c r="M28" s="15"/>
      <c r="N28" s="15"/>
      <c r="O28" s="15"/>
      <c r="P28" s="15"/>
      <c r="Q28" s="14">
        <f t="shared" si="18"/>
        <v>0</v>
      </c>
      <c r="R28" s="15"/>
      <c r="S28" s="15"/>
      <c r="T28" s="15"/>
      <c r="U28" s="15"/>
      <c r="V28" s="15">
        <f t="shared" si="0"/>
        <v>0</v>
      </c>
      <c r="W28" s="15"/>
      <c r="X28" s="15"/>
      <c r="Y28" s="16">
        <f t="shared" si="1"/>
        <v>0</v>
      </c>
      <c r="Z28" s="17">
        <f>Table4[[#This Row],[Target FOB]]-Table4[[#This Row],[Cost Price]]</f>
        <v>0</v>
      </c>
      <c r="AA28" s="17">
        <f>IFERROR(Table4[[#This Row],[Total SAM]]/$Q$36,0)</f>
        <v>0</v>
      </c>
      <c r="AB28" s="17">
        <f t="shared" si="2"/>
        <v>0</v>
      </c>
      <c r="AC28" s="17">
        <f t="shared" si="19"/>
        <v>0</v>
      </c>
      <c r="AD28" s="17"/>
      <c r="AE28" s="17">
        <v>0</v>
      </c>
      <c r="AF28" s="18">
        <f>Table4[[#This Row],[Provided FOB]]+Table4[[#This Row],[Addition]]</f>
        <v>0</v>
      </c>
      <c r="AG28" s="17">
        <f t="shared" si="3"/>
        <v>0</v>
      </c>
      <c r="AH28" s="19">
        <f t="shared" si="4"/>
        <v>0</v>
      </c>
      <c r="AI28" s="19">
        <f>IFERROR(Table4[[#This Row],[Per Min CM ]]/Table4[[#This Row],[Parity Rate]],0)*100</f>
        <v>0</v>
      </c>
      <c r="AJ28" s="20">
        <f t="shared" si="5"/>
        <v>0</v>
      </c>
      <c r="AK28" s="14">
        <f t="shared" si="6"/>
        <v>0</v>
      </c>
      <c r="AL28" s="15">
        <f t="shared" si="7"/>
        <v>0</v>
      </c>
      <c r="AM28" s="21">
        <f t="shared" si="8"/>
        <v>0</v>
      </c>
      <c r="AN28" s="15"/>
      <c r="AO28" s="21">
        <f t="shared" si="9"/>
        <v>0</v>
      </c>
      <c r="AP28" s="22">
        <f t="shared" si="10"/>
        <v>0</v>
      </c>
      <c r="AQ28" s="22">
        <f t="shared" si="11"/>
        <v>0</v>
      </c>
      <c r="AR28" s="22">
        <f t="shared" si="11"/>
        <v>0</v>
      </c>
      <c r="AS28" s="22">
        <f t="shared" si="12"/>
        <v>0</v>
      </c>
      <c r="AT28" s="22">
        <f t="shared" si="12"/>
        <v>0</v>
      </c>
      <c r="AU28" s="22">
        <f t="shared" si="13"/>
        <v>0</v>
      </c>
      <c r="AV28" s="22">
        <f t="shared" si="14"/>
        <v>0</v>
      </c>
      <c r="AW28" s="22">
        <f t="shared" si="15"/>
        <v>0</v>
      </c>
      <c r="AX28" s="22">
        <f t="shared" si="23"/>
        <v>0</v>
      </c>
      <c r="AY28" s="22">
        <f t="shared" si="23"/>
        <v>0</v>
      </c>
      <c r="AZ28" s="22">
        <f t="shared" si="20"/>
        <v>0</v>
      </c>
      <c r="BA28" s="22">
        <f t="shared" si="21"/>
        <v>0</v>
      </c>
      <c r="BB28" s="22">
        <f>Table4[[#This Row],[OH ]]*Table4[[#This Row],[Qty]]</f>
        <v>0</v>
      </c>
      <c r="BC28" s="22">
        <f>Table4[[#This Row],[Total Contribution]]-Table4[[#This Row],[Overheads]]</f>
        <v>0</v>
      </c>
      <c r="BD28" s="23" t="str">
        <f t="shared" si="17"/>
        <v>NON DENIMKIABI KIDS</v>
      </c>
      <c r="BE28" s="24">
        <f t="shared" si="24"/>
        <v>0</v>
      </c>
      <c r="BG28" s="5"/>
      <c r="BH28" s="24"/>
      <c r="BI28" s="24"/>
    </row>
    <row r="29" spans="1:61" x14ac:dyDescent="0.3">
      <c r="A29" s="12" t="str">
        <f>'Month Wise Sales Qty'!A29</f>
        <v>FARRUKH</v>
      </c>
      <c r="B29" s="13" t="str">
        <f>'Month Wise Sales Qty'!B29</f>
        <v>DENIM</v>
      </c>
      <c r="C29" s="13"/>
      <c r="D29" s="13" t="str">
        <f>'Month Wise Sales Qty'!C29</f>
        <v>C&amp;A MEN</v>
      </c>
      <c r="E29" s="14">
        <f>SUMIFS('Month Wise Sales Qty'!P:P,'Month Wise Sales Qty'!C:C,Table4[[#This Row],[Customer]],'Month Wise Sales Qty'!B:B,Table4[[#This Row],[Wash Type]],'Month Wise Sales Qty'!A:A,Table4[[#This Row],[Team]])</f>
        <v>209500</v>
      </c>
      <c r="F29" s="15"/>
      <c r="G29" s="15"/>
      <c r="H29" s="15">
        <f>Table4[[#This Row],[Fabric Cons]]*Table4[[#This Row],[Fab Price]]</f>
        <v>0</v>
      </c>
      <c r="I29" s="15"/>
      <c r="J29" s="15"/>
      <c r="K29" s="15">
        <f>Table4[[#This Row],[Pocket Cons]]*Table4[[#This Row],[Pocketing Price]]</f>
        <v>0</v>
      </c>
      <c r="L29" s="15"/>
      <c r="M29" s="15"/>
      <c r="N29" s="15"/>
      <c r="O29" s="15"/>
      <c r="P29" s="15"/>
      <c r="Q29" s="14">
        <f t="shared" si="18"/>
        <v>0</v>
      </c>
      <c r="R29" s="15"/>
      <c r="S29" s="15"/>
      <c r="T29" s="15"/>
      <c r="U29" s="15"/>
      <c r="V29" s="15">
        <f t="shared" si="0"/>
        <v>0</v>
      </c>
      <c r="W29" s="15"/>
      <c r="X29" s="15"/>
      <c r="Y29" s="16">
        <f t="shared" si="1"/>
        <v>0</v>
      </c>
      <c r="Z29" s="17">
        <f>Table4[[#This Row],[Target FOB]]-Table4[[#This Row],[Cost Price]]</f>
        <v>0</v>
      </c>
      <c r="AA29" s="17">
        <f>IFERROR(Table4[[#This Row],[Total SAM]]/$Q$36,0)</f>
        <v>0</v>
      </c>
      <c r="AB29" s="17">
        <f t="shared" si="2"/>
        <v>0</v>
      </c>
      <c r="AC29" s="17">
        <f t="shared" si="19"/>
        <v>0</v>
      </c>
      <c r="AD29" s="17"/>
      <c r="AE29" s="17">
        <v>0</v>
      </c>
      <c r="AF29" s="18">
        <f>Table4[[#This Row],[Provided FOB]]+Table4[[#This Row],[Addition]]</f>
        <v>0</v>
      </c>
      <c r="AG29" s="17">
        <f t="shared" si="3"/>
        <v>0</v>
      </c>
      <c r="AH29" s="19">
        <f t="shared" si="4"/>
        <v>0</v>
      </c>
      <c r="AI29" s="19">
        <f>IFERROR(Table4[[#This Row],[Per Min CM ]]/Table4[[#This Row],[Parity Rate]],0)*100</f>
        <v>0</v>
      </c>
      <c r="AJ29" s="20">
        <f t="shared" si="5"/>
        <v>0</v>
      </c>
      <c r="AK29" s="14">
        <f t="shared" si="6"/>
        <v>0</v>
      </c>
      <c r="AL29" s="15">
        <f t="shared" si="7"/>
        <v>0</v>
      </c>
      <c r="AM29" s="21">
        <f t="shared" si="8"/>
        <v>0</v>
      </c>
      <c r="AN29" s="15"/>
      <c r="AO29" s="21">
        <f t="shared" si="9"/>
        <v>0</v>
      </c>
      <c r="AP29" s="22">
        <f t="shared" si="10"/>
        <v>0</v>
      </c>
      <c r="AQ29" s="22">
        <f t="shared" si="11"/>
        <v>0</v>
      </c>
      <c r="AR29" s="22">
        <f t="shared" si="11"/>
        <v>0</v>
      </c>
      <c r="AS29" s="22">
        <f t="shared" si="12"/>
        <v>0</v>
      </c>
      <c r="AT29" s="22">
        <f t="shared" si="12"/>
        <v>0</v>
      </c>
      <c r="AU29" s="22">
        <f t="shared" si="13"/>
        <v>0</v>
      </c>
      <c r="AV29" s="22">
        <f t="shared" si="14"/>
        <v>0</v>
      </c>
      <c r="AW29" s="22">
        <f t="shared" si="15"/>
        <v>0</v>
      </c>
      <c r="AX29" s="22">
        <f t="shared" si="23"/>
        <v>0</v>
      </c>
      <c r="AY29" s="22">
        <f t="shared" si="23"/>
        <v>0</v>
      </c>
      <c r="AZ29" s="22">
        <f t="shared" si="20"/>
        <v>0</v>
      </c>
      <c r="BA29" s="22">
        <f t="shared" si="21"/>
        <v>0</v>
      </c>
      <c r="BB29" s="22">
        <f>Table4[[#This Row],[OH ]]*Table4[[#This Row],[Qty]]</f>
        <v>0</v>
      </c>
      <c r="BC29" s="22">
        <f>Table4[[#This Row],[Total Contribution]]-Table4[[#This Row],[Overheads]]</f>
        <v>0</v>
      </c>
      <c r="BD29" s="23" t="str">
        <f t="shared" si="17"/>
        <v>DENIMC&amp;A MEN</v>
      </c>
      <c r="BE29" s="24">
        <f t="shared" si="24"/>
        <v>0</v>
      </c>
      <c r="BG29" s="5"/>
      <c r="BH29" s="24"/>
      <c r="BI29" s="24"/>
    </row>
    <row r="30" spans="1:61" x14ac:dyDescent="0.3">
      <c r="A30" s="12" t="str">
        <f>'Month Wise Sales Qty'!A30</f>
        <v>FARRUKH</v>
      </c>
      <c r="B30" s="13" t="str">
        <f>'Month Wise Sales Qty'!B30</f>
        <v>NON DENIM</v>
      </c>
      <c r="C30" s="13"/>
      <c r="D30" s="13" t="str">
        <f>'Month Wise Sales Qty'!C30</f>
        <v>C&amp;A MEN</v>
      </c>
      <c r="E30" s="14">
        <f>SUMIFS('Month Wise Sales Qty'!P:P,'Month Wise Sales Qty'!C:C,Table4[[#This Row],[Customer]],'Month Wise Sales Qty'!B:B,Table4[[#This Row],[Wash Type]],'Month Wise Sales Qty'!A:A,Table4[[#This Row],[Team]])</f>
        <v>910000</v>
      </c>
      <c r="F30" s="15"/>
      <c r="G30" s="15"/>
      <c r="H30" s="15">
        <f>Table4[[#This Row],[Fabric Cons]]*Table4[[#This Row],[Fab Price]]</f>
        <v>0</v>
      </c>
      <c r="I30" s="15"/>
      <c r="J30" s="15"/>
      <c r="K30" s="15">
        <f>Table4[[#This Row],[Pocket Cons]]*Table4[[#This Row],[Pocketing Price]]</f>
        <v>0</v>
      </c>
      <c r="L30" s="15"/>
      <c r="M30" s="15"/>
      <c r="N30" s="15"/>
      <c r="O30" s="15"/>
      <c r="P30" s="15"/>
      <c r="Q30" s="14">
        <f t="shared" si="18"/>
        <v>0</v>
      </c>
      <c r="R30" s="15"/>
      <c r="S30" s="15"/>
      <c r="T30" s="15"/>
      <c r="U30" s="15"/>
      <c r="V30" s="15">
        <f t="shared" si="0"/>
        <v>0</v>
      </c>
      <c r="W30" s="15"/>
      <c r="X30" s="15"/>
      <c r="Y30" s="16">
        <f t="shared" si="1"/>
        <v>0</v>
      </c>
      <c r="Z30" s="17">
        <f>Table4[[#This Row],[Target FOB]]-Table4[[#This Row],[Cost Price]]</f>
        <v>0</v>
      </c>
      <c r="AA30" s="17">
        <f>IFERROR(Table4[[#This Row],[Total SAM]]/$Q$36,0)</f>
        <v>0</v>
      </c>
      <c r="AB30" s="17">
        <f t="shared" si="2"/>
        <v>0</v>
      </c>
      <c r="AC30" s="17">
        <f t="shared" si="19"/>
        <v>0</v>
      </c>
      <c r="AD30" s="17"/>
      <c r="AE30" s="17">
        <v>0</v>
      </c>
      <c r="AF30" s="18">
        <f>Table4[[#This Row],[Provided FOB]]+Table4[[#This Row],[Addition]]</f>
        <v>0</v>
      </c>
      <c r="AG30" s="17">
        <f t="shared" si="3"/>
        <v>0</v>
      </c>
      <c r="AH30" s="19">
        <f t="shared" si="4"/>
        <v>0</v>
      </c>
      <c r="AI30" s="19">
        <f>IFERROR(Table4[[#This Row],[Per Min CM ]]/Table4[[#This Row],[Parity Rate]],0)*100</f>
        <v>0</v>
      </c>
      <c r="AJ30" s="20">
        <f t="shared" si="5"/>
        <v>0</v>
      </c>
      <c r="AK30" s="14">
        <f t="shared" si="6"/>
        <v>0</v>
      </c>
      <c r="AL30" s="15">
        <f t="shared" si="7"/>
        <v>0</v>
      </c>
      <c r="AM30" s="21">
        <f t="shared" si="8"/>
        <v>0</v>
      </c>
      <c r="AN30" s="15"/>
      <c r="AO30" s="21">
        <f t="shared" si="9"/>
        <v>0</v>
      </c>
      <c r="AP30" s="22">
        <f t="shared" si="10"/>
        <v>0</v>
      </c>
      <c r="AQ30" s="22">
        <f t="shared" si="11"/>
        <v>0</v>
      </c>
      <c r="AR30" s="22">
        <f t="shared" si="11"/>
        <v>0</v>
      </c>
      <c r="AS30" s="22">
        <f t="shared" si="12"/>
        <v>0</v>
      </c>
      <c r="AT30" s="22">
        <f t="shared" si="12"/>
        <v>0</v>
      </c>
      <c r="AU30" s="22">
        <f t="shared" si="13"/>
        <v>0</v>
      </c>
      <c r="AV30" s="22">
        <f t="shared" si="14"/>
        <v>0</v>
      </c>
      <c r="AW30" s="22">
        <f t="shared" si="15"/>
        <v>0</v>
      </c>
      <c r="AX30" s="22">
        <f t="shared" si="23"/>
        <v>0</v>
      </c>
      <c r="AY30" s="22">
        <f t="shared" si="23"/>
        <v>0</v>
      </c>
      <c r="AZ30" s="22">
        <f>SUM(AP30:AY30)</f>
        <v>0</v>
      </c>
      <c r="BA30" s="22">
        <f t="shared" si="21"/>
        <v>0</v>
      </c>
      <c r="BB30" s="22">
        <f>Table4[[#This Row],[OH ]]*Table4[[#This Row],[Qty]]</f>
        <v>0</v>
      </c>
      <c r="BC30" s="22">
        <f>Table4[[#This Row],[Total Contribution]]-Table4[[#This Row],[Overheads]]</f>
        <v>0</v>
      </c>
      <c r="BD30" s="23" t="str">
        <f t="shared" si="17"/>
        <v>NON DENIMC&amp;A MEN</v>
      </c>
      <c r="BE30" s="24">
        <f t="shared" si="24"/>
        <v>0</v>
      </c>
      <c r="BG30" s="5"/>
      <c r="BH30" s="24"/>
      <c r="BI30" s="24"/>
    </row>
    <row r="31" spans="1:61" x14ac:dyDescent="0.3">
      <c r="A31" s="12" t="str">
        <f>'Month Wise Sales Qty'!A31</f>
        <v>FARRUKH</v>
      </c>
      <c r="B31" s="13" t="str">
        <f>'Month Wise Sales Qty'!B31</f>
        <v>DENIM</v>
      </c>
      <c r="C31" s="13"/>
      <c r="D31" s="13" t="str">
        <f>'Month Wise Sales Qty'!C31</f>
        <v>C&amp;A LADIES</v>
      </c>
      <c r="E31" s="14">
        <f>SUMIFS('Month Wise Sales Qty'!P:P,'Month Wise Sales Qty'!C:C,Table4[[#This Row],[Customer]],'Month Wise Sales Qty'!B:B,Table4[[#This Row],[Wash Type]],'Month Wise Sales Qty'!A:A,Table4[[#This Row],[Team]])</f>
        <v>401000</v>
      </c>
      <c r="F31" s="15"/>
      <c r="G31" s="15"/>
      <c r="H31" s="15">
        <f>Table4[[#This Row],[Fabric Cons]]*Table4[[#This Row],[Fab Price]]</f>
        <v>0</v>
      </c>
      <c r="I31" s="15"/>
      <c r="J31" s="15"/>
      <c r="K31" s="15">
        <f>Table4[[#This Row],[Pocket Cons]]*Table4[[#This Row],[Pocketing Price]]</f>
        <v>0</v>
      </c>
      <c r="L31" s="15"/>
      <c r="M31" s="15"/>
      <c r="N31" s="15"/>
      <c r="O31" s="15"/>
      <c r="P31" s="15"/>
      <c r="Q31" s="14">
        <f t="shared" si="18"/>
        <v>0</v>
      </c>
      <c r="R31" s="15"/>
      <c r="S31" s="15"/>
      <c r="T31" s="15"/>
      <c r="U31" s="15"/>
      <c r="V31" s="15">
        <f t="shared" si="0"/>
        <v>0</v>
      </c>
      <c r="W31" s="15"/>
      <c r="X31" s="15"/>
      <c r="Y31" s="16">
        <f t="shared" si="1"/>
        <v>0</v>
      </c>
      <c r="Z31" s="17">
        <f>Table4[[#This Row],[Target FOB]]-Table4[[#This Row],[Cost Price]]</f>
        <v>0</v>
      </c>
      <c r="AA31" s="17">
        <f>IFERROR(Table4[[#This Row],[Total SAM]]/$Q$36,0)</f>
        <v>0</v>
      </c>
      <c r="AB31" s="17">
        <f t="shared" si="2"/>
        <v>0</v>
      </c>
      <c r="AC31" s="17">
        <f t="shared" si="19"/>
        <v>0</v>
      </c>
      <c r="AD31" s="17"/>
      <c r="AE31" s="17">
        <v>0</v>
      </c>
      <c r="AF31" s="18">
        <f>Table4[[#This Row],[Provided FOB]]+Table4[[#This Row],[Addition]]</f>
        <v>0</v>
      </c>
      <c r="AG31" s="17">
        <f t="shared" si="3"/>
        <v>0</v>
      </c>
      <c r="AH31" s="19">
        <f t="shared" si="4"/>
        <v>0</v>
      </c>
      <c r="AI31" s="19">
        <f>IFERROR(Table4[[#This Row],[Per Min CM ]]/Table4[[#This Row],[Parity Rate]],0)*100</f>
        <v>0</v>
      </c>
      <c r="AJ31" s="20">
        <f t="shared" si="5"/>
        <v>0</v>
      </c>
      <c r="AK31" s="14">
        <f t="shared" si="6"/>
        <v>0</v>
      </c>
      <c r="AL31" s="15">
        <f t="shared" si="7"/>
        <v>0</v>
      </c>
      <c r="AM31" s="21">
        <f t="shared" si="8"/>
        <v>0</v>
      </c>
      <c r="AN31" s="15"/>
      <c r="AO31" s="21">
        <f>Z31*E31</f>
        <v>0</v>
      </c>
      <c r="AP31" s="22">
        <f t="shared" si="10"/>
        <v>0</v>
      </c>
      <c r="AQ31" s="22">
        <f t="shared" si="11"/>
        <v>0</v>
      </c>
      <c r="AR31" s="22">
        <f t="shared" si="11"/>
        <v>0</v>
      </c>
      <c r="AS31" s="22">
        <f t="shared" si="12"/>
        <v>0</v>
      </c>
      <c r="AT31" s="22">
        <f t="shared" si="12"/>
        <v>0</v>
      </c>
      <c r="AU31" s="22">
        <f t="shared" si="13"/>
        <v>0</v>
      </c>
      <c r="AV31" s="22">
        <f t="shared" si="14"/>
        <v>0</v>
      </c>
      <c r="AW31" s="22">
        <f t="shared" si="15"/>
        <v>0</v>
      </c>
      <c r="AX31" s="22">
        <f t="shared" si="23"/>
        <v>0</v>
      </c>
      <c r="AY31" s="22">
        <f t="shared" si="23"/>
        <v>0</v>
      </c>
      <c r="AZ31" s="22">
        <f t="shared" ref="AZ31:AZ34" si="25">SUM(AP31:AY31)</f>
        <v>0</v>
      </c>
      <c r="BA31" s="22">
        <f t="shared" si="21"/>
        <v>0</v>
      </c>
      <c r="BB31" s="22">
        <f>Table4[[#This Row],[OH ]]*Table4[[#This Row],[Qty]]</f>
        <v>0</v>
      </c>
      <c r="BC31" s="22">
        <f>Table4[[#This Row],[Total Contribution]]-Table4[[#This Row],[Overheads]]</f>
        <v>0</v>
      </c>
      <c r="BD31" s="23" t="str">
        <f t="shared" si="17"/>
        <v>DENIMC&amp;A LADIES</v>
      </c>
      <c r="BE31" s="24">
        <f t="shared" si="24"/>
        <v>0</v>
      </c>
      <c r="BG31" s="5"/>
      <c r="BH31" s="24"/>
      <c r="BI31" s="24"/>
    </row>
    <row r="32" spans="1:61" x14ac:dyDescent="0.3">
      <c r="A32" s="12" t="str">
        <f>'Month Wise Sales Qty'!A32</f>
        <v>FARRUKH</v>
      </c>
      <c r="B32" s="13" t="str">
        <f>'Month Wise Sales Qty'!B32</f>
        <v>NON DENIM</v>
      </c>
      <c r="C32" s="13"/>
      <c r="D32" s="13" t="str">
        <f>'Month Wise Sales Qty'!C32</f>
        <v>C&amp;A LADIES</v>
      </c>
      <c r="E32" s="14">
        <f>SUMIFS('Month Wise Sales Qty'!P:P,'Month Wise Sales Qty'!C:C,Table4[[#This Row],[Customer]],'Month Wise Sales Qty'!B:B,Table4[[#This Row],[Wash Type]],'Month Wise Sales Qty'!A:A,Table4[[#This Row],[Team]])</f>
        <v>223000</v>
      </c>
      <c r="F32" s="15"/>
      <c r="G32" s="15"/>
      <c r="H32" s="15">
        <f>Table4[[#This Row],[Fabric Cons]]*Table4[[#This Row],[Fab Price]]</f>
        <v>0</v>
      </c>
      <c r="I32" s="15"/>
      <c r="J32" s="15"/>
      <c r="K32" s="15">
        <f>Table4[[#This Row],[Pocket Cons]]*Table4[[#This Row],[Pocketing Price]]</f>
        <v>0</v>
      </c>
      <c r="L32" s="15"/>
      <c r="M32" s="15"/>
      <c r="N32" s="15"/>
      <c r="O32" s="15"/>
      <c r="P32" s="15"/>
      <c r="Q32" s="14">
        <f t="shared" si="18"/>
        <v>0</v>
      </c>
      <c r="R32" s="15"/>
      <c r="S32" s="15"/>
      <c r="T32" s="15"/>
      <c r="U32" s="15"/>
      <c r="V32" s="15">
        <f t="shared" si="0"/>
        <v>0</v>
      </c>
      <c r="W32" s="15"/>
      <c r="X32" s="15"/>
      <c r="Y32" s="16">
        <f t="shared" si="1"/>
        <v>0</v>
      </c>
      <c r="Z32" s="17">
        <f>Table4[[#This Row],[Target FOB]]-Table4[[#This Row],[Cost Price]]</f>
        <v>0</v>
      </c>
      <c r="AA32" s="17">
        <f>IFERROR(Table4[[#This Row],[Total SAM]]/$Q$36,0)</f>
        <v>0</v>
      </c>
      <c r="AB32" s="17">
        <f t="shared" si="2"/>
        <v>0</v>
      </c>
      <c r="AC32" s="17">
        <f t="shared" si="19"/>
        <v>0</v>
      </c>
      <c r="AD32" s="17"/>
      <c r="AE32" s="17">
        <v>0</v>
      </c>
      <c r="AF32" s="18">
        <f>Table4[[#This Row],[Provided FOB]]+Table4[[#This Row],[Addition]]</f>
        <v>0</v>
      </c>
      <c r="AG32" s="17">
        <f t="shared" si="3"/>
        <v>0</v>
      </c>
      <c r="AH32" s="19">
        <f t="shared" si="4"/>
        <v>0</v>
      </c>
      <c r="AI32" s="19">
        <f>IFERROR(Table4[[#This Row],[Per Min CM ]]/Table4[[#This Row],[Parity Rate]],0)*100</f>
        <v>0</v>
      </c>
      <c r="AJ32" s="20">
        <f t="shared" si="5"/>
        <v>0</v>
      </c>
      <c r="AK32" s="14">
        <f t="shared" si="6"/>
        <v>0</v>
      </c>
      <c r="AL32" s="15">
        <f t="shared" si="7"/>
        <v>0</v>
      </c>
      <c r="AM32" s="21">
        <f t="shared" si="8"/>
        <v>0</v>
      </c>
      <c r="AN32" s="15"/>
      <c r="AO32" s="21">
        <f>Z32*E32</f>
        <v>0</v>
      </c>
      <c r="AP32" s="22">
        <f t="shared" si="10"/>
        <v>0</v>
      </c>
      <c r="AQ32" s="22">
        <f t="shared" si="11"/>
        <v>0</v>
      </c>
      <c r="AR32" s="22">
        <f t="shared" si="11"/>
        <v>0</v>
      </c>
      <c r="AS32" s="22">
        <f t="shared" si="12"/>
        <v>0</v>
      </c>
      <c r="AT32" s="22">
        <f t="shared" si="12"/>
        <v>0</v>
      </c>
      <c r="AU32" s="22">
        <f t="shared" si="13"/>
        <v>0</v>
      </c>
      <c r="AV32" s="22">
        <f t="shared" si="14"/>
        <v>0</v>
      </c>
      <c r="AW32" s="22">
        <f t="shared" si="15"/>
        <v>0</v>
      </c>
      <c r="AX32" s="22">
        <f t="shared" si="23"/>
        <v>0</v>
      </c>
      <c r="AY32" s="22">
        <f t="shared" si="23"/>
        <v>0</v>
      </c>
      <c r="AZ32" s="22">
        <f t="shared" si="25"/>
        <v>0</v>
      </c>
      <c r="BA32" s="22">
        <f t="shared" si="21"/>
        <v>0</v>
      </c>
      <c r="BB32" s="22">
        <f>Table4[[#This Row],[OH ]]*Table4[[#This Row],[Qty]]</f>
        <v>0</v>
      </c>
      <c r="BC32" s="22">
        <f>Table4[[#This Row],[Total Contribution]]-Table4[[#This Row],[Overheads]]</f>
        <v>0</v>
      </c>
      <c r="BD32" s="23" t="str">
        <f t="shared" si="17"/>
        <v>NON DENIMC&amp;A LADIES</v>
      </c>
      <c r="BE32" s="24">
        <f t="shared" si="24"/>
        <v>0</v>
      </c>
      <c r="BG32" s="5"/>
      <c r="BH32" s="24"/>
      <c r="BI32" s="24"/>
    </row>
    <row r="33" spans="1:61" x14ac:dyDescent="0.3">
      <c r="A33" s="12" t="str">
        <f>'Month Wise Sales Qty'!A33</f>
        <v>FARRUKH</v>
      </c>
      <c r="B33" s="13" t="str">
        <f>'Month Wise Sales Qty'!B33</f>
        <v>DENIM</v>
      </c>
      <c r="C33" s="13"/>
      <c r="D33" s="13" t="str">
        <f>'Month Wise Sales Qty'!C33</f>
        <v>C&amp;A-KIDS</v>
      </c>
      <c r="E33" s="14">
        <f>SUMIFS('Month Wise Sales Qty'!P:P,'Month Wise Sales Qty'!C:C,Table4[[#This Row],[Customer]],'Month Wise Sales Qty'!B:B,Table4[[#This Row],[Wash Type]],'Month Wise Sales Qty'!A:A,Table4[[#This Row],[Team]])</f>
        <v>178000</v>
      </c>
      <c r="F33" s="15"/>
      <c r="G33" s="15"/>
      <c r="H33" s="15">
        <f>Table4[[#This Row],[Fabric Cons]]*Table4[[#This Row],[Fab Price]]</f>
        <v>0</v>
      </c>
      <c r="I33" s="15"/>
      <c r="J33" s="15"/>
      <c r="K33" s="15">
        <f>Table4[[#This Row],[Pocket Cons]]*Table4[[#This Row],[Pocketing Price]]</f>
        <v>0</v>
      </c>
      <c r="L33" s="15"/>
      <c r="M33" s="15"/>
      <c r="N33" s="15"/>
      <c r="O33" s="15"/>
      <c r="P33" s="15"/>
      <c r="Q33" s="14">
        <f t="shared" si="18"/>
        <v>0</v>
      </c>
      <c r="R33" s="15"/>
      <c r="S33" s="15"/>
      <c r="T33" s="15"/>
      <c r="U33" s="15"/>
      <c r="V33" s="15">
        <f t="shared" si="0"/>
        <v>0</v>
      </c>
      <c r="W33" s="15"/>
      <c r="X33" s="15"/>
      <c r="Y33" s="16">
        <f t="shared" si="1"/>
        <v>0</v>
      </c>
      <c r="Z33" s="17">
        <f>Table4[[#This Row],[Target FOB]]-Table4[[#This Row],[Cost Price]]</f>
        <v>0</v>
      </c>
      <c r="AA33" s="17">
        <f>IFERROR(Table4[[#This Row],[Total SAM]]/$Q$36,0)</f>
        <v>0</v>
      </c>
      <c r="AB33" s="17">
        <f t="shared" si="2"/>
        <v>0</v>
      </c>
      <c r="AC33" s="17">
        <f t="shared" si="19"/>
        <v>0</v>
      </c>
      <c r="AD33" s="17"/>
      <c r="AE33" s="17">
        <v>0</v>
      </c>
      <c r="AF33" s="18">
        <f>Table4[[#This Row],[Provided FOB]]+Table4[[#This Row],[Addition]]</f>
        <v>0</v>
      </c>
      <c r="AG33" s="17">
        <f t="shared" si="3"/>
        <v>0</v>
      </c>
      <c r="AH33" s="19">
        <f t="shared" si="4"/>
        <v>0</v>
      </c>
      <c r="AI33" s="19">
        <f>IFERROR(Table4[[#This Row],[Per Min CM ]]/Table4[[#This Row],[Parity Rate]],0)*100</f>
        <v>0</v>
      </c>
      <c r="AJ33" s="20">
        <f t="shared" si="5"/>
        <v>0</v>
      </c>
      <c r="AK33" s="14">
        <f t="shared" si="6"/>
        <v>0</v>
      </c>
      <c r="AL33" s="15">
        <f t="shared" si="7"/>
        <v>0</v>
      </c>
      <c r="AM33" s="21">
        <f t="shared" si="8"/>
        <v>0</v>
      </c>
      <c r="AN33" s="15"/>
      <c r="AO33" s="21">
        <f>Z33*E33</f>
        <v>0</v>
      </c>
      <c r="AP33" s="22">
        <f t="shared" si="10"/>
        <v>0</v>
      </c>
      <c r="AQ33" s="22">
        <f t="shared" si="11"/>
        <v>0</v>
      </c>
      <c r="AR33" s="22">
        <f t="shared" si="11"/>
        <v>0</v>
      </c>
      <c r="AS33" s="22">
        <f t="shared" si="12"/>
        <v>0</v>
      </c>
      <c r="AT33" s="22">
        <f t="shared" si="12"/>
        <v>0</v>
      </c>
      <c r="AU33" s="22">
        <f t="shared" si="13"/>
        <v>0</v>
      </c>
      <c r="AV33" s="22">
        <f t="shared" si="14"/>
        <v>0</v>
      </c>
      <c r="AW33" s="22">
        <f t="shared" si="15"/>
        <v>0</v>
      </c>
      <c r="AX33" s="22">
        <f t="shared" si="23"/>
        <v>0</v>
      </c>
      <c r="AY33" s="22">
        <f t="shared" si="23"/>
        <v>0</v>
      </c>
      <c r="AZ33" s="22">
        <f t="shared" si="25"/>
        <v>0</v>
      </c>
      <c r="BA33" s="22">
        <f t="shared" si="21"/>
        <v>0</v>
      </c>
      <c r="BB33" s="22">
        <f>Table4[[#This Row],[OH ]]*Table4[[#This Row],[Qty]]</f>
        <v>0</v>
      </c>
      <c r="BC33" s="22">
        <f>Table4[[#This Row],[Total Contribution]]-Table4[[#This Row],[Overheads]]</f>
        <v>0</v>
      </c>
      <c r="BD33" s="23" t="str">
        <f t="shared" si="17"/>
        <v>DENIMC&amp;A-KIDS</v>
      </c>
      <c r="BE33" s="24">
        <f t="shared" si="24"/>
        <v>0</v>
      </c>
      <c r="BG33" s="5"/>
      <c r="BH33" s="24"/>
      <c r="BI33" s="24"/>
    </row>
    <row r="34" spans="1:61" x14ac:dyDescent="0.3">
      <c r="A34" s="12" t="str">
        <f>'Month Wise Sales Qty'!A34</f>
        <v>FARRUKH</v>
      </c>
      <c r="B34" s="13" t="str">
        <f>'Month Wise Sales Qty'!B34</f>
        <v>NON DENIM</v>
      </c>
      <c r="C34" s="13"/>
      <c r="D34" s="13" t="str">
        <f>'Month Wise Sales Qty'!C34</f>
        <v>C&amp;A-KIDS</v>
      </c>
      <c r="E34" s="14">
        <f>SUMIFS('Month Wise Sales Qty'!P:P,'Month Wise Sales Qty'!C:C,Table4[[#This Row],[Customer]],'Month Wise Sales Qty'!B:B,Table4[[#This Row],[Wash Type]],'Month Wise Sales Qty'!A:A,Table4[[#This Row],[Team]])</f>
        <v>80000</v>
      </c>
      <c r="F34" s="15"/>
      <c r="G34" s="15"/>
      <c r="H34" s="15">
        <f>Table4[[#This Row],[Fabric Cons]]*Table4[[#This Row],[Fab Price]]</f>
        <v>0</v>
      </c>
      <c r="I34" s="15"/>
      <c r="J34" s="15"/>
      <c r="K34" s="15">
        <f>Table4[[#This Row],[Pocket Cons]]*Table4[[#This Row],[Pocketing Price]]</f>
        <v>0</v>
      </c>
      <c r="L34" s="15"/>
      <c r="M34" s="15"/>
      <c r="N34" s="15"/>
      <c r="O34" s="15"/>
      <c r="P34" s="15"/>
      <c r="Q34" s="14">
        <f t="shared" si="18"/>
        <v>0</v>
      </c>
      <c r="R34" s="15"/>
      <c r="S34" s="15"/>
      <c r="T34" s="15"/>
      <c r="U34" s="15"/>
      <c r="V34" s="15">
        <f t="shared" si="0"/>
        <v>0</v>
      </c>
      <c r="W34" s="15"/>
      <c r="X34" s="15"/>
      <c r="Y34" s="16">
        <f t="shared" si="1"/>
        <v>0</v>
      </c>
      <c r="Z34" s="17">
        <f>Table4[[#This Row],[Target FOB]]-Table4[[#This Row],[Cost Price]]</f>
        <v>0</v>
      </c>
      <c r="AA34" s="17">
        <f>IFERROR(Table4[[#This Row],[Total SAM]]/$Q$36,0)</f>
        <v>0</v>
      </c>
      <c r="AB34" s="17">
        <f t="shared" si="2"/>
        <v>0</v>
      </c>
      <c r="AC34" s="17">
        <f t="shared" si="19"/>
        <v>0</v>
      </c>
      <c r="AD34" s="17"/>
      <c r="AE34" s="17">
        <v>0</v>
      </c>
      <c r="AF34" s="18">
        <f>Table4[[#This Row],[Provided FOB]]+Table4[[#This Row],[Addition]]</f>
        <v>0</v>
      </c>
      <c r="AG34" s="17">
        <f t="shared" si="3"/>
        <v>0</v>
      </c>
      <c r="AH34" s="19">
        <f t="shared" si="4"/>
        <v>0</v>
      </c>
      <c r="AI34" s="19">
        <f>IFERROR(Table4[[#This Row],[Per Min CM ]]/Table4[[#This Row],[Parity Rate]],0)*100</f>
        <v>0</v>
      </c>
      <c r="AJ34" s="20">
        <f t="shared" si="5"/>
        <v>0</v>
      </c>
      <c r="AK34" s="14">
        <f t="shared" si="6"/>
        <v>0</v>
      </c>
      <c r="AL34" s="15">
        <f t="shared" si="7"/>
        <v>0</v>
      </c>
      <c r="AM34" s="21">
        <f t="shared" si="8"/>
        <v>0</v>
      </c>
      <c r="AN34" s="15"/>
      <c r="AO34" s="21">
        <f>Z34*E34</f>
        <v>0</v>
      </c>
      <c r="AP34" s="22">
        <f t="shared" si="10"/>
        <v>0</v>
      </c>
      <c r="AQ34" s="22">
        <f t="shared" si="11"/>
        <v>0</v>
      </c>
      <c r="AR34" s="22">
        <f t="shared" si="11"/>
        <v>0</v>
      </c>
      <c r="AS34" s="22">
        <f t="shared" si="12"/>
        <v>0</v>
      </c>
      <c r="AT34" s="22">
        <f t="shared" si="12"/>
        <v>0</v>
      </c>
      <c r="AU34" s="22">
        <f t="shared" si="13"/>
        <v>0</v>
      </c>
      <c r="AV34" s="22">
        <f t="shared" si="14"/>
        <v>0</v>
      </c>
      <c r="AW34" s="22">
        <f t="shared" si="15"/>
        <v>0</v>
      </c>
      <c r="AX34" s="22">
        <f t="shared" si="23"/>
        <v>0</v>
      </c>
      <c r="AY34" s="22">
        <f t="shared" si="23"/>
        <v>0</v>
      </c>
      <c r="AZ34" s="22">
        <f t="shared" si="25"/>
        <v>0</v>
      </c>
      <c r="BA34" s="22">
        <f t="shared" si="21"/>
        <v>0</v>
      </c>
      <c r="BB34" s="22">
        <f>Table4[[#This Row],[OH ]]*Table4[[#This Row],[Qty]]</f>
        <v>0</v>
      </c>
      <c r="BC34" s="22">
        <f>Table4[[#This Row],[Total Contribution]]-Table4[[#This Row],[Overheads]]</f>
        <v>0</v>
      </c>
      <c r="BD34" s="23" t="str">
        <f t="shared" si="17"/>
        <v>NON DENIMC&amp;A-KIDS</v>
      </c>
      <c r="BE34" s="24">
        <f t="shared" si="24"/>
        <v>0</v>
      </c>
      <c r="BG34" s="5"/>
      <c r="BH34" s="24"/>
      <c r="BI34" s="24"/>
    </row>
    <row r="35" spans="1:61" x14ac:dyDescent="0.3">
      <c r="B35" s="26"/>
      <c r="C35" s="26"/>
      <c r="D35" s="26"/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7"/>
      <c r="R35" s="29"/>
      <c r="S35" s="29"/>
      <c r="T35" s="29"/>
      <c r="U35" s="29"/>
      <c r="V35" s="29"/>
      <c r="W35" s="29"/>
      <c r="X35" s="29"/>
      <c r="Y35" s="30"/>
      <c r="Z35" s="31"/>
      <c r="AA35" s="31"/>
      <c r="AB35" s="31"/>
      <c r="AC35" s="31"/>
      <c r="AD35" s="31"/>
      <c r="AE35" s="31"/>
      <c r="AF35" s="32"/>
      <c r="AG35" s="33"/>
      <c r="AH35" s="33"/>
      <c r="AI35" s="33"/>
      <c r="AJ35" s="34"/>
      <c r="AK35" s="35"/>
      <c r="AL35" s="29"/>
      <c r="AM35" s="36"/>
      <c r="AN35" s="29"/>
      <c r="AO35" s="36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E35" s="24"/>
    </row>
    <row r="36" spans="1:61" ht="15" thickBot="1" x14ac:dyDescent="0.35">
      <c r="A36" s="38"/>
      <c r="B36" s="38"/>
      <c r="C36" s="38"/>
      <c r="D36" s="38"/>
      <c r="E36" s="39">
        <f>SUBTOTAL(109,Table4[Qty])</f>
        <v>8597384.347826086</v>
      </c>
      <c r="F36" s="40">
        <f>SUMPRODUCT(Table4[Qty],Table4[Fabric Cons])/E36</f>
        <v>0</v>
      </c>
      <c r="G36" s="40">
        <f>SUMPRODUCT(Table4[Fab Price],Table4[Qty])/E36</f>
        <v>0</v>
      </c>
      <c r="H36" s="40">
        <f>SUMPRODUCT(Table4[Fabric],Table4[Qty])/E36</f>
        <v>0</v>
      </c>
      <c r="I36" s="40">
        <f>SUMPRODUCT(Table4[Pocket Cons],Table4[Qty])/E36</f>
        <v>0</v>
      </c>
      <c r="J36" s="40">
        <f>SUMPRODUCT(Table4[Pocketing Price],Table4[Qty])/E36</f>
        <v>0</v>
      </c>
      <c r="K36" s="40">
        <f>SUMPRODUCT(Table4[Pocketing],Table4[Qty])/E36</f>
        <v>0</v>
      </c>
      <c r="L36" s="40">
        <f>SUMPRODUCT(Table4[Trim],Table4[Qty])/E36</f>
        <v>0</v>
      </c>
      <c r="M36" s="40">
        <f>SUMPRODUCT(Table4[Testing],Table4[Qty])/E36</f>
        <v>0</v>
      </c>
      <c r="N36" s="41">
        <f>SUMPRODUCT(Table4[Sampling],Table4[Qty])/E36</f>
        <v>0</v>
      </c>
      <c r="O36" s="40">
        <f>SUMPRODUCT(Table4[Chemical],Table4[Qty])/E36</f>
        <v>0</v>
      </c>
      <c r="P36" s="40">
        <f>SUMPRODUCT(Table4[SAM],Table4[Qty])/E36</f>
        <v>0</v>
      </c>
      <c r="Q36" s="42">
        <f>SUBTOTAL(109,Table4[Total SAM])</f>
        <v>0</v>
      </c>
      <c r="R36" s="40">
        <f>SUMPRODUCT(Table4[Wash OH],Table4[Qty])/E36</f>
        <v>0</v>
      </c>
      <c r="S36" s="40">
        <f>SUMPRODUCT(Table4[[OH ]],Table4[Qty])/E36</f>
        <v>0</v>
      </c>
      <c r="T36" s="40">
        <f>SUMPRODUCT(Table4[Freight],Table4[Qty])/E36</f>
        <v>0</v>
      </c>
      <c r="U36" s="40"/>
      <c r="V36" s="40">
        <f>SUMPRODUCT(Table4[Wastage],Table4[Qty])/E36</f>
        <v>0</v>
      </c>
      <c r="W36" s="40">
        <f>SUMPRODUCT(Table4[Finance Cost],Table4[Qty])/E36</f>
        <v>0</v>
      </c>
      <c r="X36" s="40">
        <f>SUMPRODUCT(Table4[Commission],Table4[Qty])/E36</f>
        <v>0</v>
      </c>
      <c r="Y36" s="40"/>
      <c r="Z36" s="43">
        <f>SUMPRODUCT(Table4[Profit],Table4[Qty])/E36</f>
        <v>0</v>
      </c>
      <c r="AA36" s="43">
        <f>SUMPRODUCT(Table4[Provided FOB],Table4[Qty])/E36</f>
        <v>0</v>
      </c>
      <c r="AB36" s="43"/>
      <c r="AC36" s="43">
        <f>SUMPRODUCT(Table4[Target FOB],Table4[Qty])/E36</f>
        <v>0</v>
      </c>
      <c r="AD36" s="43"/>
      <c r="AE36" s="43"/>
      <c r="AF36" s="43">
        <f>SUMPRODUCT(Table4[Target FOB],Table4[Qty])/E36</f>
        <v>0</v>
      </c>
      <c r="AG36" s="44" t="e">
        <f>(SUMPRODUCT(Table4[CM],Table4[Qty])/Q36)*100</f>
        <v>#DIV/0!</v>
      </c>
      <c r="AH36" s="45">
        <f>IFERROR(AJ36*AN36/Q36,0)</f>
        <v>0</v>
      </c>
      <c r="AI36" s="40" t="e">
        <f>AL36/278*100</f>
        <v>#DIV/0!</v>
      </c>
      <c r="AJ36" s="46">
        <f>SUM(AJ2:AJ34)</f>
        <v>0</v>
      </c>
      <c r="AK36" s="46">
        <f>SUM(AK2:AK34)</f>
        <v>0</v>
      </c>
      <c r="AL36" s="41" t="e">
        <f>AK36/Q36</f>
        <v>#DIV/0!</v>
      </c>
      <c r="AM36" s="46">
        <f>SUM(AM2:AM34)</f>
        <v>0</v>
      </c>
      <c r="AN36" s="40">
        <f>AN34</f>
        <v>0</v>
      </c>
      <c r="AO36" s="44">
        <f t="shared" ref="AO36:BC36" si="26">SUM(AO2:AO34)</f>
        <v>0</v>
      </c>
      <c r="AP36" s="42">
        <f t="shared" si="26"/>
        <v>0</v>
      </c>
      <c r="AQ36" s="42">
        <f t="shared" si="26"/>
        <v>0</v>
      </c>
      <c r="AR36" s="42">
        <f t="shared" si="26"/>
        <v>0</v>
      </c>
      <c r="AS36" s="42">
        <f t="shared" si="26"/>
        <v>0</v>
      </c>
      <c r="AT36" s="42">
        <f t="shared" si="26"/>
        <v>0</v>
      </c>
      <c r="AU36" s="42">
        <f t="shared" si="26"/>
        <v>0</v>
      </c>
      <c r="AV36" s="42">
        <f t="shared" si="26"/>
        <v>0</v>
      </c>
      <c r="AW36" s="42">
        <f t="shared" si="26"/>
        <v>0</v>
      </c>
      <c r="AX36" s="42">
        <f t="shared" si="26"/>
        <v>0</v>
      </c>
      <c r="AY36" s="42">
        <f t="shared" si="26"/>
        <v>0</v>
      </c>
      <c r="AZ36" s="42">
        <f t="shared" si="26"/>
        <v>0</v>
      </c>
      <c r="BA36" s="42">
        <f t="shared" si="26"/>
        <v>0</v>
      </c>
      <c r="BB36" s="42">
        <f t="shared" si="26"/>
        <v>0</v>
      </c>
      <c r="BC36" s="42">
        <f t="shared" si="26"/>
        <v>0</v>
      </c>
      <c r="BD36" s="38"/>
      <c r="BE36" s="38"/>
    </row>
    <row r="37" spans="1:61" ht="15" thickTop="1" x14ac:dyDescent="0.3">
      <c r="E37" s="2"/>
      <c r="F37" s="2"/>
      <c r="G37" s="2"/>
      <c r="H37" s="2"/>
      <c r="I37" s="2"/>
      <c r="J37" s="2"/>
      <c r="K37" s="2"/>
      <c r="L37" s="2"/>
      <c r="M37" s="2"/>
      <c r="P37" s="2"/>
      <c r="Q37" s="24"/>
      <c r="S37" s="2"/>
      <c r="T37" s="2"/>
      <c r="U37" s="2"/>
      <c r="W37" s="24"/>
      <c r="Z37" s="47" t="e">
        <f>Z36/AF36</f>
        <v>#DIV/0!</v>
      </c>
      <c r="AH37" s="2"/>
      <c r="AJ37" s="24"/>
      <c r="AK37" s="1">
        <f>SUMPRODUCT(Table4[[OH ]],Table4[Qty])*285</f>
        <v>0</v>
      </c>
    </row>
  </sheetData>
  <conditionalFormatting sqref="Z2:AA35">
    <cfRule type="cellIs" dxfId="3" priority="1" operator="lessThan">
      <formula>0</formula>
    </cfRule>
  </conditionalFormatting>
  <pageMargins left="0.25" right="0.25" top="0.75" bottom="0.75" header="0.3" footer="0.3"/>
  <pageSetup scale="20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 Wise Sales Qty</vt:lpstr>
      <vt:lpstr>Costing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Zahid</dc:creator>
  <cp:lastModifiedBy>Hamza Zahid</cp:lastModifiedBy>
  <dcterms:created xsi:type="dcterms:W3CDTF">2026-03-30T05:17:10Z</dcterms:created>
  <dcterms:modified xsi:type="dcterms:W3CDTF">2026-03-31T04:46:43Z</dcterms:modified>
</cp:coreProperties>
</file>